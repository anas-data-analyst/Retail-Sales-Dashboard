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esktop\Retail_Sales_Dashboard_Project\"/>
    </mc:Choice>
  </mc:AlternateContent>
  <bookViews>
    <workbookView xWindow="0" yWindow="0" windowWidth="16815" windowHeight="7650" activeTab="1"/>
  </bookViews>
  <sheets>
    <sheet name="CITY_WISE_SALE" sheetId="3" r:id="rId1"/>
    <sheet name="DASHBOARD " sheetId="5" r:id="rId2"/>
    <sheet name="MONTHLY_SALES" sheetId="6" r:id="rId3"/>
    <sheet name="CATEGORY_WISE_SALE" sheetId="9" r:id="rId4"/>
    <sheet name="Orders_Data" sheetId="1" r:id="rId5"/>
    <sheet name="CONCLUSION" sheetId="8" r:id="rId6"/>
    <sheet name="INSIGHT" sheetId="14" r:id="rId7"/>
  </sheets>
  <definedNames>
    <definedName name="_xlnm._FilterDatabase" localSheetId="4" hidden="1">Orders_Data!$A$1:$M$1001</definedName>
    <definedName name="Slicer_Category1">#N/A</definedName>
    <definedName name="Slicer_City">#N/A</definedName>
  </definedNames>
  <calcPr calcId="162913"/>
  <pivotCaches>
    <pivotCache cacheId="1"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I1005" i="1" l="1"/>
  <c r="J1004" i="1"/>
  <c r="A1004" i="1"/>
  <c r="D1001" i="1"/>
  <c r="C1001" i="1"/>
  <c r="D1000" i="1"/>
  <c r="C1000" i="1"/>
  <c r="D999" i="1"/>
  <c r="C999" i="1"/>
  <c r="D998" i="1"/>
  <c r="C998" i="1"/>
  <c r="D997" i="1"/>
  <c r="C997" i="1"/>
  <c r="D996" i="1"/>
  <c r="C996" i="1"/>
  <c r="D995" i="1"/>
  <c r="C995" i="1"/>
  <c r="D994" i="1"/>
  <c r="C994" i="1"/>
  <c r="D993" i="1"/>
  <c r="C993" i="1"/>
  <c r="D992" i="1"/>
  <c r="C992" i="1"/>
  <c r="D991" i="1"/>
  <c r="C991" i="1"/>
  <c r="D990" i="1"/>
  <c r="C990" i="1"/>
  <c r="D989" i="1"/>
  <c r="C989" i="1"/>
  <c r="D988" i="1"/>
  <c r="C988" i="1"/>
  <c r="D987" i="1"/>
  <c r="C987" i="1"/>
  <c r="D986" i="1"/>
  <c r="C986" i="1"/>
  <c r="D985" i="1"/>
  <c r="C985" i="1"/>
  <c r="D984" i="1"/>
  <c r="C984" i="1"/>
  <c r="D983" i="1"/>
  <c r="C983" i="1"/>
  <c r="D982" i="1"/>
  <c r="C982" i="1"/>
  <c r="D981" i="1"/>
  <c r="C981" i="1"/>
  <c r="D980" i="1"/>
  <c r="C980" i="1"/>
  <c r="D979" i="1"/>
  <c r="C979" i="1"/>
  <c r="D978" i="1"/>
  <c r="C978" i="1"/>
  <c r="D977" i="1"/>
  <c r="C977" i="1"/>
  <c r="D976" i="1"/>
  <c r="C976" i="1"/>
  <c r="D975" i="1"/>
  <c r="C975" i="1"/>
  <c r="D974" i="1"/>
  <c r="C974" i="1"/>
  <c r="D973" i="1"/>
  <c r="C973" i="1"/>
  <c r="D972" i="1"/>
  <c r="C972" i="1"/>
  <c r="D971" i="1"/>
  <c r="C971" i="1"/>
  <c r="D970" i="1"/>
  <c r="C970" i="1"/>
  <c r="D969" i="1"/>
  <c r="C969" i="1"/>
  <c r="D968" i="1"/>
  <c r="C968" i="1"/>
  <c r="D967" i="1"/>
  <c r="C967" i="1"/>
  <c r="D966" i="1"/>
  <c r="C966" i="1"/>
  <c r="D965" i="1"/>
  <c r="C965" i="1"/>
  <c r="D964" i="1"/>
  <c r="C964" i="1"/>
  <c r="D963" i="1"/>
  <c r="C963" i="1"/>
  <c r="D962" i="1"/>
  <c r="C962" i="1"/>
  <c r="D961" i="1"/>
  <c r="C961" i="1"/>
  <c r="D960" i="1"/>
  <c r="C960" i="1"/>
  <c r="D959" i="1"/>
  <c r="C959" i="1"/>
  <c r="D958" i="1"/>
  <c r="C958" i="1"/>
  <c r="D957" i="1"/>
  <c r="C957" i="1"/>
  <c r="D956" i="1"/>
  <c r="C956" i="1"/>
  <c r="D955" i="1"/>
  <c r="C955" i="1"/>
  <c r="D954" i="1"/>
  <c r="C954" i="1"/>
  <c r="D953" i="1"/>
  <c r="C953" i="1"/>
  <c r="D952" i="1"/>
  <c r="C952" i="1"/>
  <c r="D951" i="1"/>
  <c r="C951" i="1"/>
  <c r="D950" i="1"/>
  <c r="C950" i="1"/>
  <c r="D949" i="1"/>
  <c r="C949" i="1"/>
  <c r="D948" i="1"/>
  <c r="C948" i="1"/>
  <c r="D947" i="1"/>
  <c r="C947" i="1"/>
  <c r="D946" i="1"/>
  <c r="C946" i="1"/>
  <c r="D945" i="1"/>
  <c r="C945" i="1"/>
  <c r="D944" i="1"/>
  <c r="C944" i="1"/>
  <c r="D943" i="1"/>
  <c r="C943" i="1"/>
  <c r="D942" i="1"/>
  <c r="C942" i="1"/>
  <c r="D941" i="1"/>
  <c r="C941" i="1"/>
  <c r="D940" i="1"/>
  <c r="C940" i="1"/>
  <c r="D939" i="1"/>
  <c r="C939" i="1"/>
  <c r="D938" i="1"/>
  <c r="C938" i="1"/>
  <c r="D937" i="1"/>
  <c r="C937" i="1"/>
  <c r="D936" i="1"/>
  <c r="C936" i="1"/>
  <c r="D935" i="1"/>
  <c r="C935" i="1"/>
  <c r="D934" i="1"/>
  <c r="C934" i="1"/>
  <c r="D933" i="1"/>
  <c r="C933" i="1"/>
  <c r="D932" i="1"/>
  <c r="C932" i="1"/>
  <c r="D931" i="1"/>
  <c r="C931" i="1"/>
  <c r="D930" i="1"/>
  <c r="C930" i="1"/>
  <c r="D929" i="1"/>
  <c r="C929" i="1"/>
  <c r="D928" i="1"/>
  <c r="C928" i="1"/>
  <c r="D927" i="1"/>
  <c r="C927" i="1"/>
  <c r="D926" i="1"/>
  <c r="C926" i="1"/>
  <c r="D925" i="1"/>
  <c r="C925" i="1"/>
  <c r="D924" i="1"/>
  <c r="C924" i="1"/>
  <c r="D923" i="1"/>
  <c r="C923" i="1"/>
  <c r="D922" i="1"/>
  <c r="C922" i="1"/>
  <c r="D921" i="1"/>
  <c r="C921" i="1"/>
  <c r="D920" i="1"/>
  <c r="C920" i="1"/>
  <c r="D919" i="1"/>
  <c r="C919" i="1"/>
  <c r="D918" i="1"/>
  <c r="C918" i="1"/>
  <c r="D917" i="1"/>
  <c r="C917" i="1"/>
  <c r="D916" i="1"/>
  <c r="C916" i="1"/>
  <c r="D915" i="1"/>
  <c r="C915" i="1"/>
  <c r="D914" i="1"/>
  <c r="C914" i="1"/>
  <c r="D913" i="1"/>
  <c r="C913" i="1"/>
  <c r="D912" i="1"/>
  <c r="C912" i="1"/>
  <c r="D911" i="1"/>
  <c r="C911" i="1"/>
  <c r="D910" i="1"/>
  <c r="C910" i="1"/>
  <c r="D909" i="1"/>
  <c r="C909" i="1"/>
  <c r="D908" i="1"/>
  <c r="C908" i="1"/>
  <c r="D907" i="1"/>
  <c r="C907" i="1"/>
  <c r="D906" i="1"/>
  <c r="C906" i="1"/>
  <c r="D905" i="1"/>
  <c r="C905" i="1"/>
  <c r="D904" i="1"/>
  <c r="C904" i="1"/>
  <c r="D903" i="1"/>
  <c r="C903" i="1"/>
  <c r="D902" i="1"/>
  <c r="C902" i="1"/>
  <c r="D901" i="1"/>
  <c r="C901" i="1"/>
  <c r="D900" i="1"/>
  <c r="C900" i="1"/>
  <c r="D899" i="1"/>
  <c r="C899" i="1"/>
  <c r="D898" i="1"/>
  <c r="C898" i="1"/>
  <c r="D897" i="1"/>
  <c r="C897" i="1"/>
  <c r="D896" i="1"/>
  <c r="C896" i="1"/>
  <c r="D895" i="1"/>
  <c r="C895" i="1"/>
  <c r="D894" i="1"/>
  <c r="C894" i="1"/>
  <c r="D893" i="1"/>
  <c r="C893" i="1"/>
  <c r="D892" i="1"/>
  <c r="C892" i="1"/>
  <c r="D891" i="1"/>
  <c r="C891" i="1"/>
  <c r="D890" i="1"/>
  <c r="C890" i="1"/>
  <c r="D889" i="1"/>
  <c r="C889" i="1"/>
  <c r="D888" i="1"/>
  <c r="C888" i="1"/>
  <c r="D887" i="1"/>
  <c r="C887" i="1"/>
  <c r="D886" i="1"/>
  <c r="C886" i="1"/>
  <c r="D885" i="1"/>
  <c r="C885" i="1"/>
  <c r="D884" i="1"/>
  <c r="C884" i="1"/>
  <c r="D883" i="1"/>
  <c r="C883" i="1"/>
  <c r="D882" i="1"/>
  <c r="C882" i="1"/>
  <c r="D881" i="1"/>
  <c r="C881" i="1"/>
  <c r="D880" i="1"/>
  <c r="C880" i="1"/>
  <c r="D879" i="1"/>
  <c r="C879" i="1"/>
  <c r="D878" i="1"/>
  <c r="C878" i="1"/>
  <c r="D877" i="1"/>
  <c r="C877" i="1"/>
  <c r="D876" i="1"/>
  <c r="C876" i="1"/>
  <c r="D875" i="1"/>
  <c r="C875" i="1"/>
  <c r="D874" i="1"/>
  <c r="C874" i="1"/>
  <c r="D873" i="1"/>
  <c r="C873" i="1"/>
  <c r="D872" i="1"/>
  <c r="C872" i="1"/>
  <c r="D871" i="1"/>
  <c r="C871" i="1"/>
  <c r="D870" i="1"/>
  <c r="C870" i="1"/>
  <c r="D869" i="1"/>
  <c r="C869" i="1"/>
  <c r="D868" i="1"/>
  <c r="C868" i="1"/>
  <c r="D867" i="1"/>
  <c r="C867" i="1"/>
  <c r="D866" i="1"/>
  <c r="C866" i="1"/>
  <c r="D865" i="1"/>
  <c r="C865" i="1"/>
  <c r="D864" i="1"/>
  <c r="C864" i="1"/>
  <c r="D863" i="1"/>
  <c r="C863" i="1"/>
  <c r="D862" i="1"/>
  <c r="C862" i="1"/>
  <c r="D861" i="1"/>
  <c r="C861" i="1"/>
  <c r="D860" i="1"/>
  <c r="C860" i="1"/>
  <c r="D859" i="1"/>
  <c r="C859" i="1"/>
  <c r="D858" i="1"/>
  <c r="C858" i="1"/>
  <c r="D857" i="1"/>
  <c r="C857" i="1"/>
  <c r="D856" i="1"/>
  <c r="C856" i="1"/>
  <c r="D855" i="1"/>
  <c r="C855" i="1"/>
  <c r="D854" i="1"/>
  <c r="C854" i="1"/>
  <c r="D853" i="1"/>
  <c r="C853" i="1"/>
  <c r="D852" i="1"/>
  <c r="C852" i="1"/>
  <c r="D851" i="1"/>
  <c r="C851" i="1"/>
  <c r="D850" i="1"/>
  <c r="C850" i="1"/>
  <c r="D849" i="1"/>
  <c r="C849" i="1"/>
  <c r="D848" i="1"/>
  <c r="C848" i="1"/>
  <c r="D847" i="1"/>
  <c r="C847" i="1"/>
  <c r="D846" i="1"/>
  <c r="C846" i="1"/>
  <c r="D845" i="1"/>
  <c r="C845" i="1"/>
  <c r="D844" i="1"/>
  <c r="C844" i="1"/>
  <c r="D843" i="1"/>
  <c r="C843" i="1"/>
  <c r="D842" i="1"/>
  <c r="C842" i="1"/>
  <c r="D841" i="1"/>
  <c r="C841" i="1"/>
  <c r="D840" i="1"/>
  <c r="C840" i="1"/>
  <c r="D839" i="1"/>
  <c r="C839" i="1"/>
  <c r="D838" i="1"/>
  <c r="C838" i="1"/>
  <c r="D837" i="1"/>
  <c r="C837" i="1"/>
  <c r="D836" i="1"/>
  <c r="C836" i="1"/>
  <c r="D835" i="1"/>
  <c r="C835" i="1"/>
  <c r="D834" i="1"/>
  <c r="C834" i="1"/>
  <c r="D833" i="1"/>
  <c r="C833" i="1"/>
  <c r="D832" i="1"/>
  <c r="C832" i="1"/>
  <c r="D831" i="1"/>
  <c r="C831" i="1"/>
  <c r="D830" i="1"/>
  <c r="C830" i="1"/>
  <c r="D829" i="1"/>
  <c r="C829" i="1"/>
  <c r="D828" i="1"/>
  <c r="C828" i="1"/>
  <c r="D827" i="1"/>
  <c r="C827" i="1"/>
  <c r="D826" i="1"/>
  <c r="C826" i="1"/>
  <c r="D825" i="1"/>
  <c r="C825" i="1"/>
  <c r="D824" i="1"/>
  <c r="C824" i="1"/>
  <c r="D823" i="1"/>
  <c r="C823" i="1"/>
  <c r="D822" i="1"/>
  <c r="C822" i="1"/>
  <c r="D821" i="1"/>
  <c r="C821" i="1"/>
  <c r="D820" i="1"/>
  <c r="C820" i="1"/>
  <c r="D819" i="1"/>
  <c r="C819" i="1"/>
  <c r="D818" i="1"/>
  <c r="C818" i="1"/>
  <c r="D817" i="1"/>
  <c r="C817" i="1"/>
  <c r="D816" i="1"/>
  <c r="C816" i="1"/>
  <c r="D815" i="1"/>
  <c r="C815" i="1"/>
  <c r="D814" i="1"/>
  <c r="C814" i="1"/>
  <c r="D813" i="1"/>
  <c r="C813" i="1"/>
  <c r="D812" i="1"/>
  <c r="C812" i="1"/>
  <c r="D811" i="1"/>
  <c r="C811" i="1"/>
  <c r="D810" i="1"/>
  <c r="C810" i="1"/>
  <c r="D809" i="1"/>
  <c r="C809" i="1"/>
  <c r="D808" i="1"/>
  <c r="C808" i="1"/>
  <c r="D807" i="1"/>
  <c r="C807" i="1"/>
  <c r="D806" i="1"/>
  <c r="C806" i="1"/>
  <c r="D805" i="1"/>
  <c r="C805" i="1"/>
  <c r="D804" i="1"/>
  <c r="C804" i="1"/>
  <c r="D803" i="1"/>
  <c r="C803" i="1"/>
  <c r="D802" i="1"/>
  <c r="C802" i="1"/>
  <c r="D801" i="1"/>
  <c r="C801" i="1"/>
  <c r="D800" i="1"/>
  <c r="C800" i="1"/>
  <c r="D799" i="1"/>
  <c r="C799" i="1"/>
  <c r="D798" i="1"/>
  <c r="C798" i="1"/>
  <c r="D797" i="1"/>
  <c r="C797" i="1"/>
  <c r="D796" i="1"/>
  <c r="C796" i="1"/>
  <c r="D795" i="1"/>
  <c r="C795" i="1"/>
  <c r="D794" i="1"/>
  <c r="C794" i="1"/>
  <c r="D793" i="1"/>
  <c r="C793" i="1"/>
  <c r="D792" i="1"/>
  <c r="C792" i="1"/>
  <c r="D791" i="1"/>
  <c r="C791" i="1"/>
  <c r="D790" i="1"/>
  <c r="C790" i="1"/>
  <c r="D789" i="1"/>
  <c r="C789" i="1"/>
  <c r="D788" i="1"/>
  <c r="C788" i="1"/>
  <c r="D787" i="1"/>
  <c r="C787" i="1"/>
  <c r="D786" i="1"/>
  <c r="C786" i="1"/>
  <c r="D785" i="1"/>
  <c r="C785" i="1"/>
  <c r="D784" i="1"/>
  <c r="C784" i="1"/>
  <c r="D783" i="1"/>
  <c r="C783" i="1"/>
  <c r="D782" i="1"/>
  <c r="C782" i="1"/>
  <c r="D781" i="1"/>
  <c r="C781" i="1"/>
  <c r="D780" i="1"/>
  <c r="C780" i="1"/>
  <c r="D779" i="1"/>
  <c r="C779" i="1"/>
  <c r="D778" i="1"/>
  <c r="C778" i="1"/>
  <c r="D777" i="1"/>
  <c r="C777" i="1"/>
  <c r="D776" i="1"/>
  <c r="C776" i="1"/>
  <c r="D775" i="1"/>
  <c r="C775" i="1"/>
  <c r="D774" i="1"/>
  <c r="C774" i="1"/>
  <c r="D773" i="1"/>
  <c r="C773" i="1"/>
  <c r="D772" i="1"/>
  <c r="C772" i="1"/>
  <c r="D771" i="1"/>
  <c r="C771" i="1"/>
  <c r="D770" i="1"/>
  <c r="C770" i="1"/>
  <c r="D769" i="1"/>
  <c r="C769" i="1"/>
  <c r="D768" i="1"/>
  <c r="C768" i="1"/>
  <c r="D767" i="1"/>
  <c r="C767" i="1"/>
  <c r="D766" i="1"/>
  <c r="C766" i="1"/>
  <c r="D765" i="1"/>
  <c r="C765" i="1"/>
  <c r="D764" i="1"/>
  <c r="C764" i="1"/>
  <c r="D763" i="1"/>
  <c r="C763" i="1"/>
  <c r="D762" i="1"/>
  <c r="C762" i="1"/>
  <c r="D761" i="1"/>
  <c r="C761" i="1"/>
  <c r="D760" i="1"/>
  <c r="C760" i="1"/>
  <c r="D759" i="1"/>
  <c r="C759" i="1"/>
  <c r="D758" i="1"/>
  <c r="C758" i="1"/>
  <c r="D757" i="1"/>
  <c r="C757" i="1"/>
  <c r="D756" i="1"/>
  <c r="C756" i="1"/>
  <c r="D755" i="1"/>
  <c r="C755" i="1"/>
  <c r="D754" i="1"/>
  <c r="C754" i="1"/>
  <c r="D753" i="1"/>
  <c r="C753" i="1"/>
  <c r="D752" i="1"/>
  <c r="C752" i="1"/>
  <c r="D751" i="1"/>
  <c r="C751" i="1"/>
  <c r="D750" i="1"/>
  <c r="C750" i="1"/>
  <c r="D749" i="1"/>
  <c r="C749" i="1"/>
  <c r="D748" i="1"/>
  <c r="C748" i="1"/>
  <c r="D747" i="1"/>
  <c r="C747" i="1"/>
  <c r="D746" i="1"/>
  <c r="C746" i="1"/>
  <c r="D745" i="1"/>
  <c r="C745" i="1"/>
  <c r="D744" i="1"/>
  <c r="C744" i="1"/>
  <c r="D743" i="1"/>
  <c r="C743" i="1"/>
  <c r="D742" i="1"/>
  <c r="C742" i="1"/>
  <c r="D741" i="1"/>
  <c r="C741" i="1"/>
  <c r="D740" i="1"/>
  <c r="C740" i="1"/>
  <c r="D739" i="1"/>
  <c r="C739" i="1"/>
  <c r="D738" i="1"/>
  <c r="C738" i="1"/>
  <c r="D737" i="1"/>
  <c r="C737" i="1"/>
  <c r="D736" i="1"/>
  <c r="C736" i="1"/>
  <c r="D735" i="1"/>
  <c r="C735" i="1"/>
  <c r="D734" i="1"/>
  <c r="C734" i="1"/>
  <c r="D733" i="1"/>
  <c r="C733" i="1"/>
  <c r="D732" i="1"/>
  <c r="C732" i="1"/>
  <c r="D731" i="1"/>
  <c r="C731" i="1"/>
  <c r="D730" i="1"/>
  <c r="C730" i="1"/>
  <c r="D729" i="1"/>
  <c r="C729" i="1"/>
  <c r="D728" i="1"/>
  <c r="C728" i="1"/>
  <c r="D727" i="1"/>
  <c r="C727" i="1"/>
  <c r="D726" i="1"/>
  <c r="C726" i="1"/>
  <c r="D725" i="1"/>
  <c r="C725" i="1"/>
  <c r="D724" i="1"/>
  <c r="C724" i="1"/>
  <c r="D723" i="1"/>
  <c r="C723" i="1"/>
  <c r="D722" i="1"/>
  <c r="C722" i="1"/>
  <c r="D721" i="1"/>
  <c r="C721" i="1"/>
  <c r="D720" i="1"/>
  <c r="C720" i="1"/>
  <c r="D719" i="1"/>
  <c r="C719" i="1"/>
  <c r="D718" i="1"/>
  <c r="C718" i="1"/>
  <c r="D717" i="1"/>
  <c r="C717" i="1"/>
  <c r="D716" i="1"/>
  <c r="C716" i="1"/>
  <c r="D715" i="1"/>
  <c r="C715" i="1"/>
  <c r="D714" i="1"/>
  <c r="C714" i="1"/>
  <c r="D713" i="1"/>
  <c r="C713" i="1"/>
  <c r="D712" i="1"/>
  <c r="C712" i="1"/>
  <c r="D711" i="1"/>
  <c r="C711" i="1"/>
  <c r="D710" i="1"/>
  <c r="C710" i="1"/>
  <c r="D709" i="1"/>
  <c r="C709" i="1"/>
  <c r="D708" i="1"/>
  <c r="C708" i="1"/>
  <c r="D707" i="1"/>
  <c r="C707" i="1"/>
  <c r="D706" i="1"/>
  <c r="C706" i="1"/>
  <c r="D705" i="1"/>
  <c r="C705" i="1"/>
  <c r="D704" i="1"/>
  <c r="C704" i="1"/>
  <c r="D703" i="1"/>
  <c r="C703" i="1"/>
  <c r="D702" i="1"/>
  <c r="C702" i="1"/>
  <c r="D701" i="1"/>
  <c r="C701" i="1"/>
  <c r="D700" i="1"/>
  <c r="C700" i="1"/>
  <c r="D699" i="1"/>
  <c r="C699" i="1"/>
  <c r="D698" i="1"/>
  <c r="C698" i="1"/>
  <c r="D697" i="1"/>
  <c r="C697" i="1"/>
  <c r="D696" i="1"/>
  <c r="C696" i="1"/>
  <c r="D695" i="1"/>
  <c r="C695" i="1"/>
  <c r="D694" i="1"/>
  <c r="C694" i="1"/>
  <c r="D693" i="1"/>
  <c r="C693" i="1"/>
  <c r="D692" i="1"/>
  <c r="C692" i="1"/>
  <c r="D691" i="1"/>
  <c r="C691" i="1"/>
  <c r="D690" i="1"/>
  <c r="C690" i="1"/>
  <c r="D689" i="1"/>
  <c r="C689" i="1"/>
  <c r="D688" i="1"/>
  <c r="C688" i="1"/>
  <c r="D687" i="1"/>
  <c r="C687" i="1"/>
  <c r="D686" i="1"/>
  <c r="C686" i="1"/>
  <c r="D685" i="1"/>
  <c r="C685" i="1"/>
  <c r="D684" i="1"/>
  <c r="C684" i="1"/>
  <c r="D683" i="1"/>
  <c r="C683" i="1"/>
  <c r="D682" i="1"/>
  <c r="C682" i="1"/>
  <c r="D681" i="1"/>
  <c r="C681" i="1"/>
  <c r="D680" i="1"/>
  <c r="C680" i="1"/>
  <c r="D679" i="1"/>
  <c r="C679" i="1"/>
  <c r="D678" i="1"/>
  <c r="C678" i="1"/>
  <c r="D677" i="1"/>
  <c r="C677" i="1"/>
  <c r="D676" i="1"/>
  <c r="C676" i="1"/>
  <c r="D675" i="1"/>
  <c r="C675" i="1"/>
  <c r="D674" i="1"/>
  <c r="C674" i="1"/>
  <c r="D673" i="1"/>
  <c r="C673" i="1"/>
  <c r="D672" i="1"/>
  <c r="C672" i="1"/>
  <c r="D671" i="1"/>
  <c r="C671" i="1"/>
  <c r="D670" i="1"/>
  <c r="C670" i="1"/>
  <c r="D669" i="1"/>
  <c r="C669" i="1"/>
  <c r="D668" i="1"/>
  <c r="C668" i="1"/>
  <c r="D667" i="1"/>
  <c r="C667" i="1"/>
  <c r="D666" i="1"/>
  <c r="C666" i="1"/>
  <c r="D665" i="1"/>
  <c r="C665" i="1"/>
  <c r="D664" i="1"/>
  <c r="C664" i="1"/>
  <c r="D663" i="1"/>
  <c r="C663" i="1"/>
  <c r="D662" i="1"/>
  <c r="C662" i="1"/>
  <c r="D661" i="1"/>
  <c r="C661" i="1"/>
  <c r="D660" i="1"/>
  <c r="C660" i="1"/>
  <c r="D659" i="1"/>
  <c r="C659" i="1"/>
  <c r="D658" i="1"/>
  <c r="C658" i="1"/>
  <c r="D657" i="1"/>
  <c r="C657" i="1"/>
  <c r="D656" i="1"/>
  <c r="C656" i="1"/>
  <c r="D655" i="1"/>
  <c r="C655" i="1"/>
  <c r="D654" i="1"/>
  <c r="C654" i="1"/>
  <c r="D653" i="1"/>
  <c r="C653" i="1"/>
  <c r="D652" i="1"/>
  <c r="C652" i="1"/>
  <c r="D651" i="1"/>
  <c r="C651" i="1"/>
  <c r="D650" i="1"/>
  <c r="C650" i="1"/>
  <c r="D649" i="1"/>
  <c r="C649" i="1"/>
  <c r="D648" i="1"/>
  <c r="C648" i="1"/>
  <c r="D647" i="1"/>
  <c r="C647" i="1"/>
  <c r="D646" i="1"/>
  <c r="C646" i="1"/>
  <c r="D645" i="1"/>
  <c r="C645" i="1"/>
  <c r="D644" i="1"/>
  <c r="C644" i="1"/>
  <c r="D643" i="1"/>
  <c r="C643" i="1"/>
  <c r="D642" i="1"/>
  <c r="C642" i="1"/>
  <c r="D641" i="1"/>
  <c r="C641" i="1"/>
  <c r="D640" i="1"/>
  <c r="C640" i="1"/>
  <c r="D639" i="1"/>
  <c r="C639" i="1"/>
  <c r="D638" i="1"/>
  <c r="C638" i="1"/>
  <c r="D637" i="1"/>
  <c r="C637" i="1"/>
  <c r="D636" i="1"/>
  <c r="C636" i="1"/>
  <c r="D635" i="1"/>
  <c r="C635" i="1"/>
  <c r="D634" i="1"/>
  <c r="C634" i="1"/>
  <c r="D633" i="1"/>
  <c r="C633" i="1"/>
  <c r="D632" i="1"/>
  <c r="C632" i="1"/>
  <c r="D631" i="1"/>
  <c r="C631" i="1"/>
  <c r="D630" i="1"/>
  <c r="C630" i="1"/>
  <c r="D629" i="1"/>
  <c r="C629" i="1"/>
  <c r="D628" i="1"/>
  <c r="C628" i="1"/>
  <c r="D627" i="1"/>
  <c r="C627" i="1"/>
  <c r="D626" i="1"/>
  <c r="C626" i="1"/>
  <c r="D625" i="1"/>
  <c r="C625" i="1"/>
  <c r="D624" i="1"/>
  <c r="C624" i="1"/>
  <c r="D623" i="1"/>
  <c r="C623" i="1"/>
  <c r="D622" i="1"/>
  <c r="C622" i="1"/>
  <c r="D621" i="1"/>
  <c r="C621" i="1"/>
  <c r="D620" i="1"/>
  <c r="C620" i="1"/>
  <c r="D619" i="1"/>
  <c r="C619" i="1"/>
  <c r="D618" i="1"/>
  <c r="C618" i="1"/>
  <c r="D617" i="1"/>
  <c r="C617" i="1"/>
  <c r="D616" i="1"/>
  <c r="C616" i="1"/>
  <c r="D615" i="1"/>
  <c r="C615" i="1"/>
  <c r="D614" i="1"/>
  <c r="C614" i="1"/>
  <c r="D613" i="1"/>
  <c r="C613" i="1"/>
  <c r="D612" i="1"/>
  <c r="C612" i="1"/>
  <c r="D611" i="1"/>
  <c r="C611" i="1"/>
  <c r="D610" i="1"/>
  <c r="C610" i="1"/>
  <c r="D609" i="1"/>
  <c r="C609" i="1"/>
  <c r="D608" i="1"/>
  <c r="C608" i="1"/>
  <c r="D607" i="1"/>
  <c r="C607" i="1"/>
  <c r="D606" i="1"/>
  <c r="C606" i="1"/>
  <c r="D605" i="1"/>
  <c r="C605" i="1"/>
  <c r="D604" i="1"/>
  <c r="C604" i="1"/>
  <c r="D603" i="1"/>
  <c r="C603" i="1"/>
  <c r="D602" i="1"/>
  <c r="C602" i="1"/>
  <c r="D601" i="1"/>
  <c r="C601" i="1"/>
  <c r="D600" i="1"/>
  <c r="C600" i="1"/>
  <c r="D599" i="1"/>
  <c r="C599" i="1"/>
  <c r="D598" i="1"/>
  <c r="C598" i="1"/>
  <c r="D597" i="1"/>
  <c r="C597" i="1"/>
  <c r="D596" i="1"/>
  <c r="C596" i="1"/>
  <c r="D595" i="1"/>
  <c r="C595" i="1"/>
  <c r="D594" i="1"/>
  <c r="C594" i="1"/>
  <c r="D593" i="1"/>
  <c r="C593" i="1"/>
  <c r="D592" i="1"/>
  <c r="C592" i="1"/>
  <c r="D591" i="1"/>
  <c r="C591" i="1"/>
  <c r="D590" i="1"/>
  <c r="C590" i="1"/>
  <c r="D589" i="1"/>
  <c r="C589" i="1"/>
  <c r="D588" i="1"/>
  <c r="C588" i="1"/>
  <c r="D587" i="1"/>
  <c r="C587" i="1"/>
  <c r="D586" i="1"/>
  <c r="C586" i="1"/>
  <c r="D585" i="1"/>
  <c r="C585" i="1"/>
  <c r="D584" i="1"/>
  <c r="C584" i="1"/>
  <c r="D583" i="1"/>
  <c r="C583" i="1"/>
  <c r="D582" i="1"/>
  <c r="C582" i="1"/>
  <c r="D581" i="1"/>
  <c r="C581" i="1"/>
  <c r="D580" i="1"/>
  <c r="C580" i="1"/>
  <c r="D579" i="1"/>
  <c r="C579" i="1"/>
  <c r="D578" i="1"/>
  <c r="C578" i="1"/>
  <c r="D577" i="1"/>
  <c r="C577" i="1"/>
  <c r="D576" i="1"/>
  <c r="C576" i="1"/>
  <c r="D575" i="1"/>
  <c r="C575" i="1"/>
  <c r="D574" i="1"/>
  <c r="C574" i="1"/>
  <c r="D573" i="1"/>
  <c r="C573" i="1"/>
  <c r="D572" i="1"/>
  <c r="C572" i="1"/>
  <c r="D571" i="1"/>
  <c r="C571" i="1"/>
  <c r="D570" i="1"/>
  <c r="C570" i="1"/>
  <c r="D569" i="1"/>
  <c r="C569" i="1"/>
  <c r="D568" i="1"/>
  <c r="C568" i="1"/>
  <c r="D567" i="1"/>
  <c r="C567" i="1"/>
  <c r="D566" i="1"/>
  <c r="C566" i="1"/>
  <c r="D565" i="1"/>
  <c r="C565" i="1"/>
  <c r="D564" i="1"/>
  <c r="C564" i="1"/>
  <c r="D563" i="1"/>
  <c r="C563" i="1"/>
  <c r="D562" i="1"/>
  <c r="C562" i="1"/>
  <c r="D561" i="1"/>
  <c r="C561" i="1"/>
  <c r="D560" i="1"/>
  <c r="C560" i="1"/>
  <c r="D559" i="1"/>
  <c r="C559" i="1"/>
  <c r="D558" i="1"/>
  <c r="C558" i="1"/>
  <c r="D557" i="1"/>
  <c r="C557" i="1"/>
  <c r="D556" i="1"/>
  <c r="C556" i="1"/>
  <c r="D555" i="1"/>
  <c r="C555" i="1"/>
  <c r="D554" i="1"/>
  <c r="C554" i="1"/>
  <c r="D553" i="1"/>
  <c r="C553" i="1"/>
  <c r="D552" i="1"/>
  <c r="C552" i="1"/>
  <c r="D551" i="1"/>
  <c r="C551" i="1"/>
  <c r="D550" i="1"/>
  <c r="C550" i="1"/>
  <c r="D549" i="1"/>
  <c r="C549" i="1"/>
  <c r="D548" i="1"/>
  <c r="C548" i="1"/>
  <c r="D547" i="1"/>
  <c r="C547" i="1"/>
  <c r="D546" i="1"/>
  <c r="C546" i="1"/>
  <c r="D545" i="1"/>
  <c r="C545" i="1"/>
  <c r="D544" i="1"/>
  <c r="C544" i="1"/>
  <c r="D543" i="1"/>
  <c r="C543" i="1"/>
  <c r="D542" i="1"/>
  <c r="C542" i="1"/>
  <c r="D541" i="1"/>
  <c r="C541" i="1"/>
  <c r="D540" i="1"/>
  <c r="C540" i="1"/>
  <c r="D539" i="1"/>
  <c r="C539" i="1"/>
  <c r="D538" i="1"/>
  <c r="C538" i="1"/>
  <c r="D537" i="1"/>
  <c r="C537" i="1"/>
  <c r="D536" i="1"/>
  <c r="C536" i="1"/>
  <c r="D535" i="1"/>
  <c r="C535" i="1"/>
  <c r="D534" i="1"/>
  <c r="C534" i="1"/>
  <c r="D533" i="1"/>
  <c r="C533" i="1"/>
  <c r="D532" i="1"/>
  <c r="C532" i="1"/>
  <c r="D531" i="1"/>
  <c r="C531" i="1"/>
  <c r="D530" i="1"/>
  <c r="C530" i="1"/>
  <c r="D529" i="1"/>
  <c r="C529" i="1"/>
  <c r="D528" i="1"/>
  <c r="C528" i="1"/>
  <c r="D527" i="1"/>
  <c r="C527" i="1"/>
  <c r="D526" i="1"/>
  <c r="C526" i="1"/>
  <c r="D525" i="1"/>
  <c r="C525" i="1"/>
  <c r="D524" i="1"/>
  <c r="C524" i="1"/>
  <c r="D523" i="1"/>
  <c r="C523" i="1"/>
  <c r="D522" i="1"/>
  <c r="C522" i="1"/>
  <c r="D521" i="1"/>
  <c r="C521" i="1"/>
  <c r="D520" i="1"/>
  <c r="C520" i="1"/>
  <c r="D519" i="1"/>
  <c r="C519" i="1"/>
  <c r="D518" i="1"/>
  <c r="C518" i="1"/>
  <c r="D517" i="1"/>
  <c r="C517" i="1"/>
  <c r="D516" i="1"/>
  <c r="C516" i="1"/>
  <c r="D515" i="1"/>
  <c r="C515" i="1"/>
  <c r="D514" i="1"/>
  <c r="C514" i="1"/>
  <c r="D513" i="1"/>
  <c r="C513" i="1"/>
  <c r="D512" i="1"/>
  <c r="C512" i="1"/>
  <c r="D511" i="1"/>
  <c r="C511" i="1"/>
  <c r="D510" i="1"/>
  <c r="C510" i="1"/>
  <c r="D509" i="1"/>
  <c r="C509" i="1"/>
  <c r="D508" i="1"/>
  <c r="C508" i="1"/>
  <c r="D507" i="1"/>
  <c r="C507" i="1"/>
  <c r="D506" i="1"/>
  <c r="C506" i="1"/>
  <c r="D505" i="1"/>
  <c r="C505" i="1"/>
  <c r="D504" i="1"/>
  <c r="C504" i="1"/>
  <c r="D503" i="1"/>
  <c r="C503" i="1"/>
  <c r="D502" i="1"/>
  <c r="C502" i="1"/>
  <c r="D501" i="1"/>
  <c r="C501" i="1"/>
  <c r="D500" i="1"/>
  <c r="C500" i="1"/>
  <c r="D499" i="1"/>
  <c r="C499" i="1"/>
  <c r="D498" i="1"/>
  <c r="C498" i="1"/>
  <c r="D497" i="1"/>
  <c r="C497" i="1"/>
  <c r="D496" i="1"/>
  <c r="C496" i="1"/>
  <c r="D495" i="1"/>
  <c r="C495" i="1"/>
  <c r="D494" i="1"/>
  <c r="C494" i="1"/>
  <c r="D493" i="1"/>
  <c r="C493" i="1"/>
  <c r="D492" i="1"/>
  <c r="C492" i="1"/>
  <c r="D491" i="1"/>
  <c r="C491" i="1"/>
  <c r="D490" i="1"/>
  <c r="C490" i="1"/>
  <c r="D489" i="1"/>
  <c r="C489" i="1"/>
  <c r="D488" i="1"/>
  <c r="C488" i="1"/>
  <c r="D487" i="1"/>
  <c r="C487" i="1"/>
  <c r="D486" i="1"/>
  <c r="C486" i="1"/>
  <c r="D485" i="1"/>
  <c r="C485" i="1"/>
  <c r="D484" i="1"/>
  <c r="C484" i="1"/>
  <c r="D483" i="1"/>
  <c r="C483" i="1"/>
  <c r="D482" i="1"/>
  <c r="C482" i="1"/>
  <c r="D481" i="1"/>
  <c r="C481" i="1"/>
  <c r="D480" i="1"/>
  <c r="C480" i="1"/>
  <c r="D479" i="1"/>
  <c r="C479" i="1"/>
  <c r="D478" i="1"/>
  <c r="C478" i="1"/>
  <c r="D477" i="1"/>
  <c r="C477" i="1"/>
  <c r="D476" i="1"/>
  <c r="C476" i="1"/>
  <c r="D475" i="1"/>
  <c r="C475" i="1"/>
  <c r="D474" i="1"/>
  <c r="C474" i="1"/>
  <c r="D473" i="1"/>
  <c r="C473" i="1"/>
  <c r="D472" i="1"/>
  <c r="C472" i="1"/>
  <c r="D471" i="1"/>
  <c r="C471" i="1"/>
  <c r="D470" i="1"/>
  <c r="C470" i="1"/>
  <c r="D469" i="1"/>
  <c r="C469" i="1"/>
  <c r="D468" i="1"/>
  <c r="C468" i="1"/>
  <c r="D467" i="1"/>
  <c r="C467" i="1"/>
  <c r="D466" i="1"/>
  <c r="C466" i="1"/>
  <c r="D465" i="1"/>
  <c r="C465" i="1"/>
  <c r="D464" i="1"/>
  <c r="C464" i="1"/>
  <c r="D463" i="1"/>
  <c r="C463" i="1"/>
  <c r="D462" i="1"/>
  <c r="C462" i="1"/>
  <c r="D461" i="1"/>
  <c r="C461" i="1"/>
  <c r="D460" i="1"/>
  <c r="C460" i="1"/>
  <c r="D459" i="1"/>
  <c r="C459" i="1"/>
  <c r="D458" i="1"/>
  <c r="C458" i="1"/>
  <c r="D457" i="1"/>
  <c r="C457" i="1"/>
  <c r="D456" i="1"/>
  <c r="C456" i="1"/>
  <c r="D455" i="1"/>
  <c r="C455" i="1"/>
  <c r="D454" i="1"/>
  <c r="C454" i="1"/>
  <c r="D453" i="1"/>
  <c r="C453" i="1"/>
  <c r="D452" i="1"/>
  <c r="C452" i="1"/>
  <c r="D451" i="1"/>
  <c r="C451" i="1"/>
  <c r="D450" i="1"/>
  <c r="C450" i="1"/>
  <c r="D449" i="1"/>
  <c r="C449" i="1"/>
  <c r="D448" i="1"/>
  <c r="C448" i="1"/>
  <c r="D447" i="1"/>
  <c r="C447" i="1"/>
  <c r="D446" i="1"/>
  <c r="C446" i="1"/>
  <c r="D445" i="1"/>
  <c r="C445" i="1"/>
  <c r="D444" i="1"/>
  <c r="C444" i="1"/>
  <c r="D443" i="1"/>
  <c r="C443" i="1"/>
  <c r="D442" i="1"/>
  <c r="C442" i="1"/>
  <c r="D441" i="1"/>
  <c r="C441" i="1"/>
  <c r="D440" i="1"/>
  <c r="C440" i="1"/>
  <c r="D439" i="1"/>
  <c r="C439" i="1"/>
  <c r="D438" i="1"/>
  <c r="C438" i="1"/>
  <c r="D437" i="1"/>
  <c r="C437" i="1"/>
  <c r="D436" i="1"/>
  <c r="C436" i="1"/>
  <c r="D435" i="1"/>
  <c r="C435" i="1"/>
  <c r="D434" i="1"/>
  <c r="C434" i="1"/>
  <c r="D433" i="1"/>
  <c r="C433" i="1"/>
  <c r="D432" i="1"/>
  <c r="C432" i="1"/>
  <c r="D431" i="1"/>
  <c r="C431" i="1"/>
  <c r="D430" i="1"/>
  <c r="C430" i="1"/>
  <c r="D429" i="1"/>
  <c r="C429" i="1"/>
  <c r="D428" i="1"/>
  <c r="C428" i="1"/>
  <c r="D427" i="1"/>
  <c r="C427" i="1"/>
  <c r="D426" i="1"/>
  <c r="C426" i="1"/>
  <c r="D425" i="1"/>
  <c r="C425" i="1"/>
  <c r="D424" i="1"/>
  <c r="C424" i="1"/>
  <c r="D423" i="1"/>
  <c r="C423" i="1"/>
  <c r="D422" i="1"/>
  <c r="C422" i="1"/>
  <c r="D421" i="1"/>
  <c r="C421" i="1"/>
  <c r="D420" i="1"/>
  <c r="C420" i="1"/>
  <c r="D419" i="1"/>
  <c r="C419" i="1"/>
  <c r="D418" i="1"/>
  <c r="C418" i="1"/>
  <c r="D417" i="1"/>
  <c r="C417" i="1"/>
  <c r="D416" i="1"/>
  <c r="C416" i="1"/>
  <c r="D415" i="1"/>
  <c r="C415" i="1"/>
  <c r="D414" i="1"/>
  <c r="C414" i="1"/>
  <c r="D413" i="1"/>
  <c r="C413" i="1"/>
  <c r="D412" i="1"/>
  <c r="C412" i="1"/>
  <c r="D411" i="1"/>
  <c r="C411" i="1"/>
  <c r="D410" i="1"/>
  <c r="C410" i="1"/>
  <c r="D409" i="1"/>
  <c r="C409" i="1"/>
  <c r="D408" i="1"/>
  <c r="C408" i="1"/>
  <c r="D407" i="1"/>
  <c r="C407" i="1"/>
  <c r="D406" i="1"/>
  <c r="C406" i="1"/>
  <c r="D405" i="1"/>
  <c r="C405" i="1"/>
  <c r="D404" i="1"/>
  <c r="C404" i="1"/>
  <c r="D403" i="1"/>
  <c r="C403" i="1"/>
  <c r="D402" i="1"/>
  <c r="C402" i="1"/>
  <c r="D401" i="1"/>
  <c r="C401" i="1"/>
  <c r="D400" i="1"/>
  <c r="C400" i="1"/>
  <c r="D399" i="1"/>
  <c r="C399" i="1"/>
  <c r="D398" i="1"/>
  <c r="C398" i="1"/>
  <c r="D397" i="1"/>
  <c r="C397" i="1"/>
  <c r="D396" i="1"/>
  <c r="C396" i="1"/>
  <c r="D395" i="1"/>
  <c r="C395" i="1"/>
  <c r="D394" i="1"/>
  <c r="C394" i="1"/>
  <c r="D393" i="1"/>
  <c r="C393" i="1"/>
  <c r="D392" i="1"/>
  <c r="C392" i="1"/>
  <c r="D391" i="1"/>
  <c r="C391" i="1"/>
  <c r="D390" i="1"/>
  <c r="C390" i="1"/>
  <c r="D389" i="1"/>
  <c r="C389" i="1"/>
  <c r="D388" i="1"/>
  <c r="C388" i="1"/>
  <c r="D387" i="1"/>
  <c r="C387" i="1"/>
  <c r="D386" i="1"/>
  <c r="C386" i="1"/>
  <c r="D385" i="1"/>
  <c r="C385" i="1"/>
  <c r="D384" i="1"/>
  <c r="C384" i="1"/>
  <c r="D383" i="1"/>
  <c r="C383" i="1"/>
  <c r="D382" i="1"/>
  <c r="C382" i="1"/>
  <c r="D381" i="1"/>
  <c r="C381" i="1"/>
  <c r="D380" i="1"/>
  <c r="C380" i="1"/>
  <c r="D379" i="1"/>
  <c r="C379" i="1"/>
  <c r="D378" i="1"/>
  <c r="C378" i="1"/>
  <c r="D377" i="1"/>
  <c r="C377" i="1"/>
  <c r="D376" i="1"/>
  <c r="C376" i="1"/>
  <c r="D375" i="1"/>
  <c r="C375" i="1"/>
  <c r="D374" i="1"/>
  <c r="C374" i="1"/>
  <c r="D373" i="1"/>
  <c r="C373" i="1"/>
  <c r="D372" i="1"/>
  <c r="C372" i="1"/>
  <c r="D371" i="1"/>
  <c r="C371" i="1"/>
  <c r="D370" i="1"/>
  <c r="C370" i="1"/>
  <c r="D369" i="1"/>
  <c r="C369" i="1"/>
  <c r="D368" i="1"/>
  <c r="C368" i="1"/>
  <c r="D367" i="1"/>
  <c r="C367" i="1"/>
  <c r="D366" i="1"/>
  <c r="C366" i="1"/>
  <c r="D365" i="1"/>
  <c r="C365" i="1"/>
  <c r="D364" i="1"/>
  <c r="C364" i="1"/>
  <c r="D363" i="1"/>
  <c r="C363" i="1"/>
  <c r="D362" i="1"/>
  <c r="C362" i="1"/>
  <c r="D361" i="1"/>
  <c r="C361" i="1"/>
  <c r="D360" i="1"/>
  <c r="C360" i="1"/>
  <c r="D359" i="1"/>
  <c r="C359" i="1"/>
  <c r="D358" i="1"/>
  <c r="C358" i="1"/>
  <c r="D357" i="1"/>
  <c r="C357" i="1"/>
  <c r="D356" i="1"/>
  <c r="C356" i="1"/>
  <c r="D355" i="1"/>
  <c r="C355" i="1"/>
  <c r="D354" i="1"/>
  <c r="C354" i="1"/>
  <c r="D353" i="1"/>
  <c r="C353" i="1"/>
  <c r="D352" i="1"/>
  <c r="C352" i="1"/>
  <c r="D351" i="1"/>
  <c r="C351" i="1"/>
  <c r="D350" i="1"/>
  <c r="C350" i="1"/>
  <c r="D349" i="1"/>
  <c r="C349" i="1"/>
  <c r="D348" i="1"/>
  <c r="C348" i="1"/>
  <c r="D347" i="1"/>
  <c r="C347" i="1"/>
  <c r="D346" i="1"/>
  <c r="C346" i="1"/>
  <c r="D345" i="1"/>
  <c r="C345" i="1"/>
  <c r="D344" i="1"/>
  <c r="C344" i="1"/>
  <c r="D343" i="1"/>
  <c r="C343" i="1"/>
  <c r="D342" i="1"/>
  <c r="C342" i="1"/>
  <c r="D341" i="1"/>
  <c r="C341" i="1"/>
  <c r="D340" i="1"/>
  <c r="C340" i="1"/>
  <c r="D339" i="1"/>
  <c r="C339" i="1"/>
  <c r="D338" i="1"/>
  <c r="C338" i="1"/>
  <c r="D337" i="1"/>
  <c r="C337" i="1"/>
  <c r="D336" i="1"/>
  <c r="C336" i="1"/>
  <c r="D335" i="1"/>
  <c r="C335" i="1"/>
  <c r="D334" i="1"/>
  <c r="C334" i="1"/>
  <c r="D333" i="1"/>
  <c r="C333" i="1"/>
  <c r="D332" i="1"/>
  <c r="C332" i="1"/>
  <c r="D331" i="1"/>
  <c r="C331" i="1"/>
  <c r="D330" i="1"/>
  <c r="C330" i="1"/>
  <c r="D329" i="1"/>
  <c r="C329" i="1"/>
  <c r="D328" i="1"/>
  <c r="C328" i="1"/>
  <c r="D327" i="1"/>
  <c r="C327" i="1"/>
  <c r="D326" i="1"/>
  <c r="C326" i="1"/>
  <c r="D325" i="1"/>
  <c r="C325" i="1"/>
  <c r="D324" i="1"/>
  <c r="C324" i="1"/>
  <c r="D323" i="1"/>
  <c r="C323" i="1"/>
  <c r="D322" i="1"/>
  <c r="C322" i="1"/>
  <c r="D321" i="1"/>
  <c r="C321" i="1"/>
  <c r="D320" i="1"/>
  <c r="C320" i="1"/>
  <c r="D319" i="1"/>
  <c r="C319" i="1"/>
  <c r="D318" i="1"/>
  <c r="C318" i="1"/>
  <c r="D317" i="1"/>
  <c r="C317" i="1"/>
  <c r="D316" i="1"/>
  <c r="C316" i="1"/>
  <c r="D315" i="1"/>
  <c r="C315" i="1"/>
  <c r="D314" i="1"/>
  <c r="C314" i="1"/>
  <c r="D313" i="1"/>
  <c r="C313" i="1"/>
  <c r="D312" i="1"/>
  <c r="C312" i="1"/>
  <c r="D311" i="1"/>
  <c r="C311" i="1"/>
  <c r="D310" i="1"/>
  <c r="C310" i="1"/>
  <c r="D309" i="1"/>
  <c r="C309" i="1"/>
  <c r="D308" i="1"/>
  <c r="C308" i="1"/>
  <c r="D307" i="1"/>
  <c r="C307" i="1"/>
  <c r="D306" i="1"/>
  <c r="C306" i="1"/>
  <c r="D305" i="1"/>
  <c r="C305" i="1"/>
  <c r="D304" i="1"/>
  <c r="C304" i="1"/>
  <c r="D303" i="1"/>
  <c r="C303" i="1"/>
  <c r="D302" i="1"/>
  <c r="C302" i="1"/>
  <c r="D301" i="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 r="E3" i="6"/>
  <c r="J5" i="5" s="1"/>
  <c r="A1" i="9"/>
  <c r="A2" i="9"/>
</calcChain>
</file>

<file path=xl/sharedStrings.xml><?xml version="1.0" encoding="utf-8"?>
<sst xmlns="http://schemas.openxmlformats.org/spreadsheetml/2006/main" count="6059" uniqueCount="2406">
  <si>
    <t>Order_ID</t>
  </si>
  <si>
    <t>Order_Date</t>
  </si>
  <si>
    <t>Customer_Name</t>
  </si>
  <si>
    <t>City</t>
  </si>
  <si>
    <t>Category</t>
  </si>
  <si>
    <t>Product</t>
  </si>
  <si>
    <t>Sales</t>
  </si>
  <si>
    <t>Quantity</t>
  </si>
  <si>
    <t>Profit</t>
  </si>
  <si>
    <t>ORD0001</t>
  </si>
  <si>
    <t>2025-06-05</t>
  </si>
  <si>
    <t>Stacey Cook</t>
  </si>
  <si>
    <t>Lucknow</t>
  </si>
  <si>
    <t>Furniture</t>
  </si>
  <si>
    <t>Chair</t>
  </si>
  <si>
    <t>ORD0002</t>
  </si>
  <si>
    <t>2025-02-11</t>
  </si>
  <si>
    <t>Richard Barton</t>
  </si>
  <si>
    <t>Pune</t>
  </si>
  <si>
    <t>Clothing</t>
  </si>
  <si>
    <t>Shoes</t>
  </si>
  <si>
    <t>ORD0003</t>
  </si>
  <si>
    <t>2025-03-30</t>
  </si>
  <si>
    <t>Johnny Matthews</t>
  </si>
  <si>
    <t>Hyderabad</t>
  </si>
  <si>
    <t>Electronics</t>
  </si>
  <si>
    <t>Headphones</t>
  </si>
  <si>
    <t>ORD0004</t>
  </si>
  <si>
    <t>2025-10-06</t>
  </si>
  <si>
    <t>James Gomez</t>
  </si>
  <si>
    <t>Table</t>
  </si>
  <si>
    <t>ORD0005</t>
  </si>
  <si>
    <t>2025-05-22</t>
  </si>
  <si>
    <t>Dennis Roberts</t>
  </si>
  <si>
    <t>Mumbai</t>
  </si>
  <si>
    <t>ORD0006</t>
  </si>
  <si>
    <t>2025-09-27</t>
  </si>
  <si>
    <t>Benjamin Ortiz</t>
  </si>
  <si>
    <t>Varanasi</t>
  </si>
  <si>
    <t>ORD0007</t>
  </si>
  <si>
    <t>2025-06-01</t>
  </si>
  <si>
    <t>Kayla Richards</t>
  </si>
  <si>
    <t>Bangalore</t>
  </si>
  <si>
    <t>T-Shirt</t>
  </si>
  <si>
    <t>ORD0008</t>
  </si>
  <si>
    <t>2025-08-20</t>
  </si>
  <si>
    <t>Cody Chapman</t>
  </si>
  <si>
    <t>Smartphone</t>
  </si>
  <si>
    <t>ORD0009</t>
  </si>
  <si>
    <t>2025-07-18</t>
  </si>
  <si>
    <t>Francisco Martinez</t>
  </si>
  <si>
    <t>ORD0010</t>
  </si>
  <si>
    <t>2025-02-27</t>
  </si>
  <si>
    <t>Jennifer Love</t>
  </si>
  <si>
    <t>Office Supplies</t>
  </si>
  <si>
    <t>Stapler</t>
  </si>
  <si>
    <t>ORD0011</t>
  </si>
  <si>
    <t>2025-01-09</t>
  </si>
  <si>
    <t>Jasmine Cameron</t>
  </si>
  <si>
    <t>Jeans</t>
  </si>
  <si>
    <t>ORD0012</t>
  </si>
  <si>
    <t>2025-05-20</t>
  </si>
  <si>
    <t>Amber Williams</t>
  </si>
  <si>
    <t>Jacket</t>
  </si>
  <si>
    <t>ORD0013</t>
  </si>
  <si>
    <t>2025-10-08</t>
  </si>
  <si>
    <t>Gina Simpson</t>
  </si>
  <si>
    <t>ORD0014</t>
  </si>
  <si>
    <t>2025-02-04</t>
  </si>
  <si>
    <t>Nicholas Carey</t>
  </si>
  <si>
    <t>ORD0015</t>
  </si>
  <si>
    <t>2025-01-04</t>
  </si>
  <si>
    <t>Anthony Boyd</t>
  </si>
  <si>
    <t>Sofa</t>
  </si>
  <si>
    <t>ORD0016</t>
  </si>
  <si>
    <t>2025-09-28</t>
  </si>
  <si>
    <t>Dwayne Cunningham</t>
  </si>
  <si>
    <t>Bed</t>
  </si>
  <si>
    <t>ORD0017</t>
  </si>
  <si>
    <t>2025-04-06</t>
  </si>
  <si>
    <t>Brian Vincent</t>
  </si>
  <si>
    <t>ORD0018</t>
  </si>
  <si>
    <t>2025-06-19</t>
  </si>
  <si>
    <t>Abigail Baker</t>
  </si>
  <si>
    <t>Marker</t>
  </si>
  <si>
    <t>ORD0019</t>
  </si>
  <si>
    <t>2025-02-09</t>
  </si>
  <si>
    <t>Jennifer Schmidt</t>
  </si>
  <si>
    <t>ORD0020</t>
  </si>
  <si>
    <t>2025-11-17</t>
  </si>
  <si>
    <t>Chad Pugh</t>
  </si>
  <si>
    <t>ORD0021</t>
  </si>
  <si>
    <t>2025-02-18</t>
  </si>
  <si>
    <t>Nicole Campbell</t>
  </si>
  <si>
    <t>ORD0022</t>
  </si>
  <si>
    <t>2025-11-14</t>
  </si>
  <si>
    <t>Mary Hicks</t>
  </si>
  <si>
    <t>Delhi</t>
  </si>
  <si>
    <t>ORD0023</t>
  </si>
  <si>
    <t>2025-07-19</t>
  </si>
  <si>
    <t>Brian Bell</t>
  </si>
  <si>
    <t>Hoodie</t>
  </si>
  <si>
    <t>ORD0024</t>
  </si>
  <si>
    <t>2025-08-19</t>
  </si>
  <si>
    <t>Perry Steele</t>
  </si>
  <si>
    <t>ORD0025</t>
  </si>
  <si>
    <t>2025-06-28</t>
  </si>
  <si>
    <t>Deborah Lewis</t>
  </si>
  <si>
    <t>ORD0026</t>
  </si>
  <si>
    <t>2025-08-31</t>
  </si>
  <si>
    <t>Dave Johnson</t>
  </si>
  <si>
    <t>Printer Paper</t>
  </si>
  <si>
    <t>ORD0027</t>
  </si>
  <si>
    <t>2025-01-22</t>
  </si>
  <si>
    <t>Sandra Martin</t>
  </si>
  <si>
    <t>ORD0028</t>
  </si>
  <si>
    <t>2025-11-16</t>
  </si>
  <si>
    <t>Scott Williams</t>
  </si>
  <si>
    <t>ORD0029</t>
  </si>
  <si>
    <t>2025-08-08</t>
  </si>
  <si>
    <t>Elizabeth Holder</t>
  </si>
  <si>
    <t>Cabinet</t>
  </si>
  <si>
    <t>ORD0030</t>
  </si>
  <si>
    <t>2025-01-13</t>
  </si>
  <si>
    <t>Jessica Armstrong</t>
  </si>
  <si>
    <t>ORD0031</t>
  </si>
  <si>
    <t>2025-09-17</t>
  </si>
  <si>
    <t>Robert Harris</t>
  </si>
  <si>
    <t>ORD0032</t>
  </si>
  <si>
    <t>2025-12-01</t>
  </si>
  <si>
    <t>Molly Robinson</t>
  </si>
  <si>
    <t>ORD0033</t>
  </si>
  <si>
    <t>2025-11-24</t>
  </si>
  <si>
    <t>Jo Peterson</t>
  </si>
  <si>
    <t>ORD0034</t>
  </si>
  <si>
    <t>Amanda Yu</t>
  </si>
  <si>
    <t>ORD0035</t>
  </si>
  <si>
    <t>Dean Collier</t>
  </si>
  <si>
    <t>Notebook</t>
  </si>
  <si>
    <t>ORD0036</t>
  </si>
  <si>
    <t>2025-01-02</t>
  </si>
  <si>
    <t>Michele Stephens</t>
  </si>
  <si>
    <t>ORD0037</t>
  </si>
  <si>
    <t>2025-12-27</t>
  </si>
  <si>
    <t>Kimberly Hubbard</t>
  </si>
  <si>
    <t>ORD0038</t>
  </si>
  <si>
    <t>2025-08-09</t>
  </si>
  <si>
    <t>Jennifer Brown</t>
  </si>
  <si>
    <t>ORD0039</t>
  </si>
  <si>
    <t>2025-05-02</t>
  </si>
  <si>
    <t>Beverly Martinez</t>
  </si>
  <si>
    <t>ORD0040</t>
  </si>
  <si>
    <t>2025-04-19</t>
  </si>
  <si>
    <t>Kimberly Brown</t>
  </si>
  <si>
    <t>Laptop</t>
  </si>
  <si>
    <t>ORD0041</t>
  </si>
  <si>
    <t>2025-06-18</t>
  </si>
  <si>
    <t>John Romero</t>
  </si>
  <si>
    <t>ORD0042</t>
  </si>
  <si>
    <t>Jessica Gibson</t>
  </si>
  <si>
    <t>ORD0043</t>
  </si>
  <si>
    <t>2025-07-30</t>
  </si>
  <si>
    <t>David Cooke</t>
  </si>
  <si>
    <t>ORD0044</t>
  </si>
  <si>
    <t>2025-06-14</t>
  </si>
  <si>
    <t>Jack Brandt</t>
  </si>
  <si>
    <t>ORD0045</t>
  </si>
  <si>
    <t>2025-05-31</t>
  </si>
  <si>
    <t>Luis Murphy</t>
  </si>
  <si>
    <t>Keyboard</t>
  </si>
  <si>
    <t>ORD0046</t>
  </si>
  <si>
    <t>2025-06-06</t>
  </si>
  <si>
    <t>Levi Lewis</t>
  </si>
  <si>
    <t>ORD0047</t>
  </si>
  <si>
    <t>2025-02-20</t>
  </si>
  <si>
    <t>Robin Hicks</t>
  </si>
  <si>
    <t>ORD0048</t>
  </si>
  <si>
    <t>2025-06-29</t>
  </si>
  <si>
    <t>Maria Palmer</t>
  </si>
  <si>
    <t>ORD0049</t>
  </si>
  <si>
    <t>2025-01-28</t>
  </si>
  <si>
    <t>John Dixon</t>
  </si>
  <si>
    <t>ORD0050</t>
  </si>
  <si>
    <t>2025-05-06</t>
  </si>
  <si>
    <t>Christopher Garcia</t>
  </si>
  <si>
    <t>ORD0051</t>
  </si>
  <si>
    <t>2025-02-07</t>
  </si>
  <si>
    <t>Laura Baker</t>
  </si>
  <si>
    <t>ORD0052</t>
  </si>
  <si>
    <t>Jill Martin</t>
  </si>
  <si>
    <t>Pen</t>
  </si>
  <si>
    <t>ORD0053</t>
  </si>
  <si>
    <t>2025-04-23</t>
  </si>
  <si>
    <t>Sheri Kelly</t>
  </si>
  <si>
    <t>ORD0054</t>
  </si>
  <si>
    <t>2025-08-14</t>
  </si>
  <si>
    <t>David Smith</t>
  </si>
  <si>
    <t>ORD0055</t>
  </si>
  <si>
    <t>2025-08-17</t>
  </si>
  <si>
    <t>Jessica Wilson</t>
  </si>
  <si>
    <t>ORD0056</t>
  </si>
  <si>
    <t>2025-09-11</t>
  </si>
  <si>
    <t>Antonio Wells</t>
  </si>
  <si>
    <t>ORD0057</t>
  </si>
  <si>
    <t>2025-07-16</t>
  </si>
  <si>
    <t>Philip Mathews</t>
  </si>
  <si>
    <t>ORD0058</t>
  </si>
  <si>
    <t>2025-01-08</t>
  </si>
  <si>
    <t>Brian Patrick</t>
  </si>
  <si>
    <t>ORD0059</t>
  </si>
  <si>
    <t>2025-10-20</t>
  </si>
  <si>
    <t>Lori Hebert</t>
  </si>
  <si>
    <t>ORD0060</t>
  </si>
  <si>
    <t>Brittney Wagner</t>
  </si>
  <si>
    <t>ORD0061</t>
  </si>
  <si>
    <t>Justin Miller</t>
  </si>
  <si>
    <t>ORD0062</t>
  </si>
  <si>
    <t>2025-03-25</t>
  </si>
  <si>
    <t>Krista Davis</t>
  </si>
  <si>
    <t>ORD0063</t>
  </si>
  <si>
    <t>2025-03-29</t>
  </si>
  <si>
    <t>Thomas Wolf</t>
  </si>
  <si>
    <t>ORD0064</t>
  </si>
  <si>
    <t>2025-01-19</t>
  </si>
  <si>
    <t>Richard Mclaughlin</t>
  </si>
  <si>
    <t>ORD0065</t>
  </si>
  <si>
    <t>2025-02-01</t>
  </si>
  <si>
    <t>Jessica Gibbs</t>
  </si>
  <si>
    <t>ORD0066</t>
  </si>
  <si>
    <t>2025-07-17</t>
  </si>
  <si>
    <t>Mary Cross</t>
  </si>
  <si>
    <t>ORD0067</t>
  </si>
  <si>
    <t>2025-03-26</t>
  </si>
  <si>
    <t>Thomas Dougherty</t>
  </si>
  <si>
    <t>ORD0068</t>
  </si>
  <si>
    <t>Sean Hester</t>
  </si>
  <si>
    <t>ORD0069</t>
  </si>
  <si>
    <t>2025-05-28</t>
  </si>
  <si>
    <t>Joshua Zimmerman</t>
  </si>
  <si>
    <t>ORD0070</t>
  </si>
  <si>
    <t>2025-03-31</t>
  </si>
  <si>
    <t>Jennifer Clark</t>
  </si>
  <si>
    <t>ORD0071</t>
  </si>
  <si>
    <t>Gary Perry</t>
  </si>
  <si>
    <t>ORD0072</t>
  </si>
  <si>
    <t>Amy Hutchinson</t>
  </si>
  <si>
    <t>ORD0073</t>
  </si>
  <si>
    <t>2025-08-06</t>
  </si>
  <si>
    <t>Jeffrey Mcdonald</t>
  </si>
  <si>
    <t>ORD0074</t>
  </si>
  <si>
    <t>2025-11-05</t>
  </si>
  <si>
    <t>Amy Rich</t>
  </si>
  <si>
    <t>ORD0075</t>
  </si>
  <si>
    <t>2025-07-05</t>
  </si>
  <si>
    <t>Ricardo Anderson</t>
  </si>
  <si>
    <t>ORD0076</t>
  </si>
  <si>
    <t>2025-01-15</t>
  </si>
  <si>
    <t>Jonathan Russo</t>
  </si>
  <si>
    <t>ORD0077</t>
  </si>
  <si>
    <t>2025-10-04</t>
  </si>
  <si>
    <t>James Allen Jr.</t>
  </si>
  <si>
    <t>ORD0078</t>
  </si>
  <si>
    <t>2025-11-23</t>
  </si>
  <si>
    <t>Joe Mccarthy</t>
  </si>
  <si>
    <t>ORD0079</t>
  </si>
  <si>
    <t>2025-11-18</t>
  </si>
  <si>
    <t>Maria Horne</t>
  </si>
  <si>
    <t>ORD0080</t>
  </si>
  <si>
    <t>2025-03-06</t>
  </si>
  <si>
    <t>Steven Roman</t>
  </si>
  <si>
    <t>ORD0081</t>
  </si>
  <si>
    <t>Leslie Foster</t>
  </si>
  <si>
    <t>ORD0082</t>
  </si>
  <si>
    <t>Darius Hill</t>
  </si>
  <si>
    <t>ORD0083</t>
  </si>
  <si>
    <t>2025-09-01</t>
  </si>
  <si>
    <t>Matthew Poole</t>
  </si>
  <si>
    <t>ORD0084</t>
  </si>
  <si>
    <t>2025-10-09</t>
  </si>
  <si>
    <t>Susan White</t>
  </si>
  <si>
    <t>ORD0085</t>
  </si>
  <si>
    <t>2025-04-29</t>
  </si>
  <si>
    <t>Judith Davis</t>
  </si>
  <si>
    <t>ORD0086</t>
  </si>
  <si>
    <t>2025-11-01</t>
  </si>
  <si>
    <t>Christian Lee</t>
  </si>
  <si>
    <t>ORD0087</t>
  </si>
  <si>
    <t>2025-10-17</t>
  </si>
  <si>
    <t>Daniel Lopez</t>
  </si>
  <si>
    <t>ORD0088</t>
  </si>
  <si>
    <t>Timothy Clark</t>
  </si>
  <si>
    <t>ORD0089</t>
  </si>
  <si>
    <t>Jacob Atkins</t>
  </si>
  <si>
    <t>ORD0090</t>
  </si>
  <si>
    <t>2025-02-08</t>
  </si>
  <si>
    <t>Ann Dixon</t>
  </si>
  <si>
    <t>ORD0091</t>
  </si>
  <si>
    <t>2025-12-23</t>
  </si>
  <si>
    <t>Megan Farmer</t>
  </si>
  <si>
    <t>ORD0092</t>
  </si>
  <si>
    <t>2025-10-02</t>
  </si>
  <si>
    <t>Nicholas Russell</t>
  </si>
  <si>
    <t>ORD0093</t>
  </si>
  <si>
    <t>2025-04-25</t>
  </si>
  <si>
    <t>Kenneth Fleming</t>
  </si>
  <si>
    <t>ORD0094</t>
  </si>
  <si>
    <t>2025-11-30</t>
  </si>
  <si>
    <t>Mr. Kevin Lindsey</t>
  </si>
  <si>
    <t>ORD0095</t>
  </si>
  <si>
    <t>David Chandler</t>
  </si>
  <si>
    <t>ORD0096</t>
  </si>
  <si>
    <t>2025-11-28</t>
  </si>
  <si>
    <t>Amanda Blanchard</t>
  </si>
  <si>
    <t>ORD0097</t>
  </si>
  <si>
    <t>2025-05-10</t>
  </si>
  <si>
    <t>Joseph Kelly</t>
  </si>
  <si>
    <t>ORD0098</t>
  </si>
  <si>
    <t>2025-07-13</t>
  </si>
  <si>
    <t>Susan Vincent</t>
  </si>
  <si>
    <t>ORD0099</t>
  </si>
  <si>
    <t>2025-08-07</t>
  </si>
  <si>
    <t>Joseph Floyd</t>
  </si>
  <si>
    <t>ORD0100</t>
  </si>
  <si>
    <t>2025-11-25</t>
  </si>
  <si>
    <t>Mary Baldwin</t>
  </si>
  <si>
    <t>ORD0101</t>
  </si>
  <si>
    <t>2025-05-16</t>
  </si>
  <si>
    <t>Karen Gonzalez</t>
  </si>
  <si>
    <t>ORD0102</t>
  </si>
  <si>
    <t>2025-07-27</t>
  </si>
  <si>
    <t>Mark Horn</t>
  </si>
  <si>
    <t>ORD0103</t>
  </si>
  <si>
    <t>Shawn Douglas</t>
  </si>
  <si>
    <t>ORD0104</t>
  </si>
  <si>
    <t>2025-10-28</t>
  </si>
  <si>
    <t>Kelly Kelly MD</t>
  </si>
  <si>
    <t>ORD0105</t>
  </si>
  <si>
    <t>2025-05-23</t>
  </si>
  <si>
    <t>Travis Armstrong</t>
  </si>
  <si>
    <t>ORD0106</t>
  </si>
  <si>
    <t>2025-03-13</t>
  </si>
  <si>
    <t>Vincent Smith</t>
  </si>
  <si>
    <t>ORD0107</t>
  </si>
  <si>
    <t>Garrett English</t>
  </si>
  <si>
    <t>ORD0108</t>
  </si>
  <si>
    <t>Rebecca Walls</t>
  </si>
  <si>
    <t>ORD0109</t>
  </si>
  <si>
    <t>2025-04-14</t>
  </si>
  <si>
    <t>Deborah Sellers</t>
  </si>
  <si>
    <t>ORD0110</t>
  </si>
  <si>
    <t>2025-03-27</t>
  </si>
  <si>
    <t>Xavier Nelson</t>
  </si>
  <si>
    <t>ORD0111</t>
  </si>
  <si>
    <t>2025-04-11</t>
  </si>
  <si>
    <t>Tonya Walker</t>
  </si>
  <si>
    <t>ORD0112</t>
  </si>
  <si>
    <t>2025-08-03</t>
  </si>
  <si>
    <t>Christopher Short</t>
  </si>
  <si>
    <t>ORD0113</t>
  </si>
  <si>
    <t>Michelle Green</t>
  </si>
  <si>
    <t>ORD0114</t>
  </si>
  <si>
    <t>2025-12-19</t>
  </si>
  <si>
    <t>Nathan Higgins</t>
  </si>
  <si>
    <t>ORD0115</t>
  </si>
  <si>
    <t>Deanna Gilbert</t>
  </si>
  <si>
    <t>Monitor</t>
  </si>
  <si>
    <t>ORD0116</t>
  </si>
  <si>
    <t>2025-04-17</t>
  </si>
  <si>
    <t>Jennifer Ramirez DVM</t>
  </si>
  <si>
    <t>ORD0117</t>
  </si>
  <si>
    <t>Christopher Burke</t>
  </si>
  <si>
    <t>ORD0118</t>
  </si>
  <si>
    <t>2025-06-03</t>
  </si>
  <si>
    <t>Amy Dean</t>
  </si>
  <si>
    <t>ORD0119</t>
  </si>
  <si>
    <t>2025-10-16</t>
  </si>
  <si>
    <t>Brittany White</t>
  </si>
  <si>
    <t>ORD0120</t>
  </si>
  <si>
    <t>2025-09-14</t>
  </si>
  <si>
    <t>Edward Swanson</t>
  </si>
  <si>
    <t>ORD0121</t>
  </si>
  <si>
    <t>2025-12-09</t>
  </si>
  <si>
    <t>Leslie Gray</t>
  </si>
  <si>
    <t>ORD0122</t>
  </si>
  <si>
    <t>Courtney Nolan</t>
  </si>
  <si>
    <t>ORD0123</t>
  </si>
  <si>
    <t>2025-09-23</t>
  </si>
  <si>
    <t>Megan Rogers</t>
  </si>
  <si>
    <t>ORD0124</t>
  </si>
  <si>
    <t>2025-09-10</t>
  </si>
  <si>
    <t>Dawn Shepard</t>
  </si>
  <si>
    <t>ORD0125</t>
  </si>
  <si>
    <t>Alexander Mccarthy</t>
  </si>
  <si>
    <t>ORD0126</t>
  </si>
  <si>
    <t>2025-01-01</t>
  </si>
  <si>
    <t>Joe Smith</t>
  </si>
  <si>
    <t>ORD0127</t>
  </si>
  <si>
    <t>2025-12-28</t>
  </si>
  <si>
    <t>Michael Larson</t>
  </si>
  <si>
    <t>ORD0128</t>
  </si>
  <si>
    <t>2025-02-19</t>
  </si>
  <si>
    <t>Richard Bradshaw</t>
  </si>
  <si>
    <t>ORD0129</t>
  </si>
  <si>
    <t>Victor Peterson</t>
  </si>
  <si>
    <t>ORD0130</t>
  </si>
  <si>
    <t>2025-03-21</t>
  </si>
  <si>
    <t>Emily Sexton</t>
  </si>
  <si>
    <t>ORD0131</t>
  </si>
  <si>
    <t>2025-06-13</t>
  </si>
  <si>
    <t>Janice Murray</t>
  </si>
  <si>
    <t>ORD0132</t>
  </si>
  <si>
    <t>2025-10-22</t>
  </si>
  <si>
    <t>Mrs. Misty White MD</t>
  </si>
  <si>
    <t>ORD0133</t>
  </si>
  <si>
    <t>2025-07-21</t>
  </si>
  <si>
    <t>Brittany Marshall</t>
  </si>
  <si>
    <t>ORD0134</t>
  </si>
  <si>
    <t>2025-07-15</t>
  </si>
  <si>
    <t>Nicholas Jones</t>
  </si>
  <si>
    <t>ORD0135</t>
  </si>
  <si>
    <t>Terri Cruz</t>
  </si>
  <si>
    <t>ORD0136</t>
  </si>
  <si>
    <t>2025-12-12</t>
  </si>
  <si>
    <t>Samuel Compton</t>
  </si>
  <si>
    <t>ORD0137</t>
  </si>
  <si>
    <t>2025-08-22</t>
  </si>
  <si>
    <t>Colleen Rodriguez</t>
  </si>
  <si>
    <t>ORD0138</t>
  </si>
  <si>
    <t>2025-12-31</t>
  </si>
  <si>
    <t>John Chandler</t>
  </si>
  <si>
    <t>ORD0139</t>
  </si>
  <si>
    <t>2025-02-13</t>
  </si>
  <si>
    <t>Kayla Sanchez</t>
  </si>
  <si>
    <t>ORD0140</t>
  </si>
  <si>
    <t>2025-12-07</t>
  </si>
  <si>
    <t>Jaime Bond</t>
  </si>
  <si>
    <t>ORD0141</t>
  </si>
  <si>
    <t>2025-05-26</t>
  </si>
  <si>
    <t>Krista Garcia</t>
  </si>
  <si>
    <t>ORD0142</t>
  </si>
  <si>
    <t>2025-01-26</t>
  </si>
  <si>
    <t>Samuel Brown</t>
  </si>
  <si>
    <t>ORD0143</t>
  </si>
  <si>
    <t>2025-01-17</t>
  </si>
  <si>
    <t>Ashley Villanueva</t>
  </si>
  <si>
    <t>ORD0144</t>
  </si>
  <si>
    <t>Stephen Fowler</t>
  </si>
  <si>
    <t>ORD0145</t>
  </si>
  <si>
    <t>Kyle Martinez</t>
  </si>
  <si>
    <t>ORD0146</t>
  </si>
  <si>
    <t>2025-09-06</t>
  </si>
  <si>
    <t>Cindy Barnes</t>
  </si>
  <si>
    <t>ORD0147</t>
  </si>
  <si>
    <t>Karen Wood</t>
  </si>
  <si>
    <t>ORD0148</t>
  </si>
  <si>
    <t>2025-05-30</t>
  </si>
  <si>
    <t>Holly Jenkins</t>
  </si>
  <si>
    <t>ORD0149</t>
  </si>
  <si>
    <t>Amy Rose</t>
  </si>
  <si>
    <t>ORD0150</t>
  </si>
  <si>
    <t>Lisa Moran</t>
  </si>
  <si>
    <t>ORD0151</t>
  </si>
  <si>
    <t>Joseph Berry</t>
  </si>
  <si>
    <t>ORD0152</t>
  </si>
  <si>
    <t>Jo Davis</t>
  </si>
  <si>
    <t>ORD0153</t>
  </si>
  <si>
    <t>Lisa Nelson</t>
  </si>
  <si>
    <t>ORD0154</t>
  </si>
  <si>
    <t>Cheryl Carter</t>
  </si>
  <si>
    <t>ORD0155</t>
  </si>
  <si>
    <t>Kenneth Burch</t>
  </si>
  <si>
    <t>ORD0156</t>
  </si>
  <si>
    <t>2025-07-03</t>
  </si>
  <si>
    <t>Kimberly Smith</t>
  </si>
  <si>
    <t>ORD0157</t>
  </si>
  <si>
    <t>2025-03-18</t>
  </si>
  <si>
    <t>Virginia Frey</t>
  </si>
  <si>
    <t>ORD0158</t>
  </si>
  <si>
    <t>2025-10-18</t>
  </si>
  <si>
    <t>Jeffrey Lopez</t>
  </si>
  <si>
    <t>ORD0159</t>
  </si>
  <si>
    <t>2025-08-12</t>
  </si>
  <si>
    <t>Jason Goodman</t>
  </si>
  <si>
    <t>ORD0160</t>
  </si>
  <si>
    <t>Thomas James</t>
  </si>
  <si>
    <t>ORD0161</t>
  </si>
  <si>
    <t>2025-02-02</t>
  </si>
  <si>
    <t>Carolyn Fisher</t>
  </si>
  <si>
    <t>ORD0162</t>
  </si>
  <si>
    <t>2025-02-23</t>
  </si>
  <si>
    <t>Anthony Gibson</t>
  </si>
  <si>
    <t>ORD0163</t>
  </si>
  <si>
    <t>2025-07-14</t>
  </si>
  <si>
    <t>James Collier</t>
  </si>
  <si>
    <t>ORD0164</t>
  </si>
  <si>
    <t>2025-12-25</t>
  </si>
  <si>
    <t>Timothy Scott</t>
  </si>
  <si>
    <t>ORD0165</t>
  </si>
  <si>
    <t>2025-10-30</t>
  </si>
  <si>
    <t>Kevin Patterson</t>
  </si>
  <si>
    <t>ORD0166</t>
  </si>
  <si>
    <t>2025-07-23</t>
  </si>
  <si>
    <t>Margaret Curtis</t>
  </si>
  <si>
    <t>ORD0167</t>
  </si>
  <si>
    <t>2025-11-19</t>
  </si>
  <si>
    <t>Melissa Davis</t>
  </si>
  <si>
    <t>ORD0168</t>
  </si>
  <si>
    <t>2025-04-10</t>
  </si>
  <si>
    <t>Ryan Merritt</t>
  </si>
  <si>
    <t>ORD0169</t>
  </si>
  <si>
    <t>2025-12-08</t>
  </si>
  <si>
    <t>Morgan Myers</t>
  </si>
  <si>
    <t>ORD0170</t>
  </si>
  <si>
    <t>2025-01-20</t>
  </si>
  <si>
    <t>Kelly Rogers</t>
  </si>
  <si>
    <t>ORD0171</t>
  </si>
  <si>
    <t>Susan Austin</t>
  </si>
  <si>
    <t>ORD0172</t>
  </si>
  <si>
    <t>Jesse Ellis</t>
  </si>
  <si>
    <t>ORD0173</t>
  </si>
  <si>
    <t>2025-12-30</t>
  </si>
  <si>
    <t>Leslie Bright</t>
  </si>
  <si>
    <t>ORD0174</t>
  </si>
  <si>
    <t>2025-01-07</t>
  </si>
  <si>
    <t>Karen Gutierrez</t>
  </si>
  <si>
    <t>ORD0175</t>
  </si>
  <si>
    <t>2025-06-07</t>
  </si>
  <si>
    <t>Jacob Gutierrez</t>
  </si>
  <si>
    <t>ORD0176</t>
  </si>
  <si>
    <t>2025-05-27</t>
  </si>
  <si>
    <t>Andrew Johnson</t>
  </si>
  <si>
    <t>ORD0177</t>
  </si>
  <si>
    <t>2025-08-02</t>
  </si>
  <si>
    <t>Joel Roy</t>
  </si>
  <si>
    <t>ORD0178</t>
  </si>
  <si>
    <t>2025-04-15</t>
  </si>
  <si>
    <t>Gabriel Garrett</t>
  </si>
  <si>
    <t>ORD0179</t>
  </si>
  <si>
    <t>2025-03-08</t>
  </si>
  <si>
    <t>Monica Bowman</t>
  </si>
  <si>
    <t>ORD0180</t>
  </si>
  <si>
    <t>2025-08-27</t>
  </si>
  <si>
    <t>Sarah Jackson</t>
  </si>
  <si>
    <t>ORD0181</t>
  </si>
  <si>
    <t>2025-06-20</t>
  </si>
  <si>
    <t>Robert Henderson</t>
  </si>
  <si>
    <t>ORD0182</t>
  </si>
  <si>
    <t>Joshua Chandler</t>
  </si>
  <si>
    <t>ORD0183</t>
  </si>
  <si>
    <t>Alyssa Moore</t>
  </si>
  <si>
    <t>ORD0184</t>
  </si>
  <si>
    <t>2025-07-09</t>
  </si>
  <si>
    <t>Traci Black</t>
  </si>
  <si>
    <t>ORD0185</t>
  </si>
  <si>
    <t>Matthew Allen</t>
  </si>
  <si>
    <t>ORD0186</t>
  </si>
  <si>
    <t>2025-07-06</t>
  </si>
  <si>
    <t>Dustin Dixon</t>
  </si>
  <si>
    <t>ORD0187</t>
  </si>
  <si>
    <t>Leah Perez</t>
  </si>
  <si>
    <t>ORD0188</t>
  </si>
  <si>
    <t>Michael Lawson</t>
  </si>
  <si>
    <t>ORD0189</t>
  </si>
  <si>
    <t>2025-10-11</t>
  </si>
  <si>
    <t>John Hanson</t>
  </si>
  <si>
    <t>ORD0190</t>
  </si>
  <si>
    <t>2025-12-03</t>
  </si>
  <si>
    <t>Karen Page</t>
  </si>
  <si>
    <t>ORD0191</t>
  </si>
  <si>
    <t>2025-11-27</t>
  </si>
  <si>
    <t>Jonathan Larson</t>
  </si>
  <si>
    <t>ORD0192</t>
  </si>
  <si>
    <t>2025-03-03</t>
  </si>
  <si>
    <t>Keith Martinez</t>
  </si>
  <si>
    <t>ORD0193</t>
  </si>
  <si>
    <t>Kimberly Thompson</t>
  </si>
  <si>
    <t>ORD0194</t>
  </si>
  <si>
    <t>Donald Newman</t>
  </si>
  <si>
    <t>ORD0195</t>
  </si>
  <si>
    <t>Laura Hunt</t>
  </si>
  <si>
    <t>ORD0196</t>
  </si>
  <si>
    <t>2025-06-23</t>
  </si>
  <si>
    <t>Rodney Graham</t>
  </si>
  <si>
    <t>ORD0197</t>
  </si>
  <si>
    <t>Ashley Lucas</t>
  </si>
  <si>
    <t>ORD0198</t>
  </si>
  <si>
    <t>2025-01-18</t>
  </si>
  <si>
    <t>Sara Dean</t>
  </si>
  <si>
    <t>ORD0199</t>
  </si>
  <si>
    <t>2025-01-16</t>
  </si>
  <si>
    <t>Craig Bailey</t>
  </si>
  <si>
    <t>ORD0200</t>
  </si>
  <si>
    <t>2025-04-28</t>
  </si>
  <si>
    <t>Tony West</t>
  </si>
  <si>
    <t>ORD0201</t>
  </si>
  <si>
    <t>2025-03-19</t>
  </si>
  <si>
    <t>Makayla Chen</t>
  </si>
  <si>
    <t>ORD0202</t>
  </si>
  <si>
    <t>Rebecca Golden</t>
  </si>
  <si>
    <t>ORD0203</t>
  </si>
  <si>
    <t>2025-12-21</t>
  </si>
  <si>
    <t>Ashley Rivera</t>
  </si>
  <si>
    <t>ORD0204</t>
  </si>
  <si>
    <t>2025-10-12</t>
  </si>
  <si>
    <t>Raymond Perez</t>
  </si>
  <si>
    <t>ORD0205</t>
  </si>
  <si>
    <t>Jennifer Sanford</t>
  </si>
  <si>
    <t>ORD0206</t>
  </si>
  <si>
    <t>Matthew Reese</t>
  </si>
  <si>
    <t>ORD0207</t>
  </si>
  <si>
    <t>2025-08-29</t>
  </si>
  <si>
    <t>Renee Mathis</t>
  </si>
  <si>
    <t>ORD0208</t>
  </si>
  <si>
    <t>2025-05-01</t>
  </si>
  <si>
    <t>Johnathan Brady</t>
  </si>
  <si>
    <t>ORD0209</t>
  </si>
  <si>
    <t>2025-03-02</t>
  </si>
  <si>
    <t>Kyle Miller</t>
  </si>
  <si>
    <t>ORD0210</t>
  </si>
  <si>
    <t>Jonathon Roman</t>
  </si>
  <si>
    <t>ORD0211</t>
  </si>
  <si>
    <t>2025-11-10</t>
  </si>
  <si>
    <t>Amber Ruiz</t>
  </si>
  <si>
    <t>ORD0212</t>
  </si>
  <si>
    <t>Erika English</t>
  </si>
  <si>
    <t>ORD0213</t>
  </si>
  <si>
    <t>2025-07-04</t>
  </si>
  <si>
    <t>Tina Clarke</t>
  </si>
  <si>
    <t>ORD0214</t>
  </si>
  <si>
    <t>2025-02-25</t>
  </si>
  <si>
    <t>Tina Harvey</t>
  </si>
  <si>
    <t>ORD0215</t>
  </si>
  <si>
    <t>Jessica Goodman</t>
  </si>
  <si>
    <t>ORD0216</t>
  </si>
  <si>
    <t>Kelly Wilson</t>
  </si>
  <si>
    <t>ORD0217</t>
  </si>
  <si>
    <t>David Cline MD</t>
  </si>
  <si>
    <t>ORD0218</t>
  </si>
  <si>
    <t>Brenda Gutierrez</t>
  </si>
  <si>
    <t>ORD0219</t>
  </si>
  <si>
    <t>Joe Macdonald</t>
  </si>
  <si>
    <t>ORD0220</t>
  </si>
  <si>
    <t>2025-10-24</t>
  </si>
  <si>
    <t>Sandra Snyder</t>
  </si>
  <si>
    <t>ORD0221</t>
  </si>
  <si>
    <t>2025-12-22</t>
  </si>
  <si>
    <t>William Sanchez</t>
  </si>
  <si>
    <t>ORD0222</t>
  </si>
  <si>
    <t>Madeline Webb</t>
  </si>
  <si>
    <t>ORD0223</t>
  </si>
  <si>
    <t>2025-01-12</t>
  </si>
  <si>
    <t>Ryan Adams</t>
  </si>
  <si>
    <t>ORD0224</t>
  </si>
  <si>
    <t>2025-07-22</t>
  </si>
  <si>
    <t>Andrea Alvarado</t>
  </si>
  <si>
    <t>ORD0225</t>
  </si>
  <si>
    <t>2025-01-14</t>
  </si>
  <si>
    <t>Rachael Fleming</t>
  </si>
  <si>
    <t>ORD0226</t>
  </si>
  <si>
    <t>Bethany Dillon</t>
  </si>
  <si>
    <t>ORD0227</t>
  </si>
  <si>
    <t>2025-03-22</t>
  </si>
  <si>
    <t>Mr. David Lopez DVM</t>
  </si>
  <si>
    <t>ORD0228</t>
  </si>
  <si>
    <t>2025-08-05</t>
  </si>
  <si>
    <t>Marcia Burke</t>
  </si>
  <si>
    <t>ORD0229</t>
  </si>
  <si>
    <t>Jason White</t>
  </si>
  <si>
    <t>ORD0230</t>
  </si>
  <si>
    <t>Shannon West</t>
  </si>
  <si>
    <t>ORD0231</t>
  </si>
  <si>
    <t>2025-10-01</t>
  </si>
  <si>
    <t>Brandy Bailey</t>
  </si>
  <si>
    <t>ORD0232</t>
  </si>
  <si>
    <t>2025-05-07</t>
  </si>
  <si>
    <t>Alexa Blake</t>
  </si>
  <si>
    <t>ORD0233</t>
  </si>
  <si>
    <t>2025-10-10</t>
  </si>
  <si>
    <t>Christopher Williams</t>
  </si>
  <si>
    <t>ORD0234</t>
  </si>
  <si>
    <t>2025-11-09</t>
  </si>
  <si>
    <t>Tara Duke</t>
  </si>
  <si>
    <t>ORD0235</t>
  </si>
  <si>
    <t>2025-12-06</t>
  </si>
  <si>
    <t>Steve Huffman</t>
  </si>
  <si>
    <t>ORD0236</t>
  </si>
  <si>
    <t>2025-08-01</t>
  </si>
  <si>
    <t>Michelle Graham</t>
  </si>
  <si>
    <t>ORD0237</t>
  </si>
  <si>
    <t>Martin Gray</t>
  </si>
  <si>
    <t>ORD0238</t>
  </si>
  <si>
    <t>2025-09-07</t>
  </si>
  <si>
    <t>Thomas Bruce</t>
  </si>
  <si>
    <t>ORD0239</t>
  </si>
  <si>
    <t>2025-01-24</t>
  </si>
  <si>
    <t>Jenna Lucas</t>
  </si>
  <si>
    <t>ORD0240</t>
  </si>
  <si>
    <t>2025-09-12</t>
  </si>
  <si>
    <t>Russell Pena</t>
  </si>
  <si>
    <t>ORD0241</t>
  </si>
  <si>
    <t>Ann Francis</t>
  </si>
  <si>
    <t>ORD0242</t>
  </si>
  <si>
    <t>2025-09-19</t>
  </si>
  <si>
    <t>Janet Rivera</t>
  </si>
  <si>
    <t>ORD0243</t>
  </si>
  <si>
    <t>Mary Burch</t>
  </si>
  <si>
    <t>ORD0244</t>
  </si>
  <si>
    <t>2025-09-25</t>
  </si>
  <si>
    <t>Frank Moore</t>
  </si>
  <si>
    <t>ORD0245</t>
  </si>
  <si>
    <t>Justin Livingston</t>
  </si>
  <si>
    <t>ORD0246</t>
  </si>
  <si>
    <t>2025-10-13</t>
  </si>
  <si>
    <t>Brandon Gonzalez</t>
  </si>
  <si>
    <t>ORD0247</t>
  </si>
  <si>
    <t>Kevin Collier</t>
  </si>
  <si>
    <t>ORD0248</t>
  </si>
  <si>
    <t>David Anderson</t>
  </si>
  <si>
    <t>ORD0249</t>
  </si>
  <si>
    <t>Mary Robinson</t>
  </si>
  <si>
    <t>ORD0250</t>
  </si>
  <si>
    <t>Virginia Duffy</t>
  </si>
  <si>
    <t>ORD0251</t>
  </si>
  <si>
    <t>2025-02-17</t>
  </si>
  <si>
    <t>Whitney Delgado</t>
  </si>
  <si>
    <t>ORD0252</t>
  </si>
  <si>
    <t>Robert Grant</t>
  </si>
  <si>
    <t>ORD0253</t>
  </si>
  <si>
    <t>Brian Hernandez</t>
  </si>
  <si>
    <t>ORD0254</t>
  </si>
  <si>
    <t>Jordan Stewart DVM</t>
  </si>
  <si>
    <t>ORD0255</t>
  </si>
  <si>
    <t>Donna Pierce</t>
  </si>
  <si>
    <t>ORD0256</t>
  </si>
  <si>
    <t>Zachary Lamb</t>
  </si>
  <si>
    <t>ORD0257</t>
  </si>
  <si>
    <t>2025-04-13</t>
  </si>
  <si>
    <t>Brian Rush</t>
  </si>
  <si>
    <t>ORD0258</t>
  </si>
  <si>
    <t>Katie Smith</t>
  </si>
  <si>
    <t>ORD0259</t>
  </si>
  <si>
    <t>Kent Shaw</t>
  </si>
  <si>
    <t>ORD0260</t>
  </si>
  <si>
    <t>2025-04-02</t>
  </si>
  <si>
    <t>Patricia Williams</t>
  </si>
  <si>
    <t>ORD0261</t>
  </si>
  <si>
    <t>2025-11-04</t>
  </si>
  <si>
    <t>Sarah Hoover</t>
  </si>
  <si>
    <t>ORD0262</t>
  </si>
  <si>
    <t>2025-01-23</t>
  </si>
  <si>
    <t>Debra Pope MD</t>
  </si>
  <si>
    <t>ORD0263</t>
  </si>
  <si>
    <t>2025-03-01</t>
  </si>
  <si>
    <t>Eric Jenkins</t>
  </si>
  <si>
    <t>ORD0264</t>
  </si>
  <si>
    <t>2025-03-05</t>
  </si>
  <si>
    <t>Nicholas Cook</t>
  </si>
  <si>
    <t>ORD0265</t>
  </si>
  <si>
    <t>2025-05-09</t>
  </si>
  <si>
    <t>Kelly White</t>
  </si>
  <si>
    <t>ORD0266</t>
  </si>
  <si>
    <t>Tina Murray</t>
  </si>
  <si>
    <t>ORD0267</t>
  </si>
  <si>
    <t>Taylor Bailey</t>
  </si>
  <si>
    <t>ORD0268</t>
  </si>
  <si>
    <t>2025-07-11</t>
  </si>
  <si>
    <t>Amanda Wall</t>
  </si>
  <si>
    <t>ORD0269</t>
  </si>
  <si>
    <t>2025-11-13</t>
  </si>
  <si>
    <t>David Navarro</t>
  </si>
  <si>
    <t>ORD0270</t>
  </si>
  <si>
    <t>Paul Hammond</t>
  </si>
  <si>
    <t>ORD0271</t>
  </si>
  <si>
    <t>Sandra Perry</t>
  </si>
  <si>
    <t>ORD0272</t>
  </si>
  <si>
    <t>2025-09-02</t>
  </si>
  <si>
    <t>Mathew Barber</t>
  </si>
  <si>
    <t>ORD0273</t>
  </si>
  <si>
    <t>Juan Greene</t>
  </si>
  <si>
    <t>ORD0274</t>
  </si>
  <si>
    <t>Brandon Kim</t>
  </si>
  <si>
    <t>ORD0275</t>
  </si>
  <si>
    <t>2025-04-16</t>
  </si>
  <si>
    <t>Lonnie Roberts</t>
  </si>
  <si>
    <t>ORD0276</t>
  </si>
  <si>
    <t>2025-11-22</t>
  </si>
  <si>
    <t>Melissa Serrano</t>
  </si>
  <si>
    <t>ORD0277</t>
  </si>
  <si>
    <t>Jordan Smith</t>
  </si>
  <si>
    <t>ORD0278</t>
  </si>
  <si>
    <t>Ashley Lang DDS</t>
  </si>
  <si>
    <t>ORD0279</t>
  </si>
  <si>
    <t>Lisa Lindsey</t>
  </si>
  <si>
    <t>ORD0280</t>
  </si>
  <si>
    <t>Laura Brown</t>
  </si>
  <si>
    <t>ORD0281</t>
  </si>
  <si>
    <t>Keith Johnson</t>
  </si>
  <si>
    <t>ORD0282</t>
  </si>
  <si>
    <t>Eric Larson</t>
  </si>
  <si>
    <t>ORD0283</t>
  </si>
  <si>
    <t>Jeffrey Kim</t>
  </si>
  <si>
    <t>ORD0284</t>
  </si>
  <si>
    <t>Lisa Rocha</t>
  </si>
  <si>
    <t>ORD0285</t>
  </si>
  <si>
    <t>Cesar Smith</t>
  </si>
  <si>
    <t>ORD0286</t>
  </si>
  <si>
    <t>2025-06-15</t>
  </si>
  <si>
    <t>Linda Taylor</t>
  </si>
  <si>
    <t>ORD0287</t>
  </si>
  <si>
    <t>2025-09-13</t>
  </si>
  <si>
    <t>Tracie Howard</t>
  </si>
  <si>
    <t>ORD0288</t>
  </si>
  <si>
    <t>Anita Vega DVM</t>
  </si>
  <si>
    <t>ORD0289</t>
  </si>
  <si>
    <t>2025-04-12</t>
  </si>
  <si>
    <t>Patricia Hays MD</t>
  </si>
  <si>
    <t>ORD0290</t>
  </si>
  <si>
    <t>Shaun Williams</t>
  </si>
  <si>
    <t>ORD0291</t>
  </si>
  <si>
    <t>2025-12-24</t>
  </si>
  <si>
    <t>Crystal Vega</t>
  </si>
  <si>
    <t>ORD0292</t>
  </si>
  <si>
    <t>Nicole Jones</t>
  </si>
  <si>
    <t>ORD0293</t>
  </si>
  <si>
    <t>Tiffany Sanchez</t>
  </si>
  <si>
    <t>ORD0294</t>
  </si>
  <si>
    <t>Stephanie Faulkner</t>
  </si>
  <si>
    <t>ORD0295</t>
  </si>
  <si>
    <t>2025-06-04</t>
  </si>
  <si>
    <t>Kelly Day</t>
  </si>
  <si>
    <t>ORD0296</t>
  </si>
  <si>
    <t>Bryan Martinez</t>
  </si>
  <si>
    <t>ORD0297</t>
  </si>
  <si>
    <t>2025-03-17</t>
  </si>
  <si>
    <t>Bradley Dorsey</t>
  </si>
  <si>
    <t>ORD0298</t>
  </si>
  <si>
    <t>Heather Taylor</t>
  </si>
  <si>
    <t>ORD0299</t>
  </si>
  <si>
    <t>Rebekah Turner</t>
  </si>
  <si>
    <t>ORD0300</t>
  </si>
  <si>
    <t>2025-03-24</t>
  </si>
  <si>
    <t>Ashley Odom</t>
  </si>
  <si>
    <t>ORD0301</t>
  </si>
  <si>
    <t>Rhonda Rhodes</t>
  </si>
  <si>
    <t>ORD0302</t>
  </si>
  <si>
    <t>Kelly Kelley</t>
  </si>
  <si>
    <t>ORD0303</t>
  </si>
  <si>
    <t>Paul Stanley</t>
  </si>
  <si>
    <t>ORD0304</t>
  </si>
  <si>
    <t>2025-05-11</t>
  </si>
  <si>
    <t>Aaron Cunningham</t>
  </si>
  <si>
    <t>ORD0305</t>
  </si>
  <si>
    <t>2025-01-27</t>
  </si>
  <si>
    <t>Gabrielle Lowe</t>
  </si>
  <si>
    <t>ORD0306</t>
  </si>
  <si>
    <t>Christopher Rodriguez</t>
  </si>
  <si>
    <t>ORD0307</t>
  </si>
  <si>
    <t>Jonathan Stevenson</t>
  </si>
  <si>
    <t>ORD0308</t>
  </si>
  <si>
    <t>Shannon Wilkins</t>
  </si>
  <si>
    <t>ORD0309</t>
  </si>
  <si>
    <t>Denise Sanders</t>
  </si>
  <si>
    <t>ORD0310</t>
  </si>
  <si>
    <t>2025-12-05</t>
  </si>
  <si>
    <t>Maria Zuniga</t>
  </si>
  <si>
    <t>ORD0311</t>
  </si>
  <si>
    <t>2025-07-26</t>
  </si>
  <si>
    <t>Carl Medina</t>
  </si>
  <si>
    <t>ORD0312</t>
  </si>
  <si>
    <t>Michael Carr</t>
  </si>
  <si>
    <t>ORD0313</t>
  </si>
  <si>
    <t>2025-10-25</t>
  </si>
  <si>
    <t>Melissa Hunter</t>
  </si>
  <si>
    <t>ORD0314</t>
  </si>
  <si>
    <t>2025-12-18</t>
  </si>
  <si>
    <t>Gabriel Black</t>
  </si>
  <si>
    <t>ORD0315</t>
  </si>
  <si>
    <t>Christopher Mason</t>
  </si>
  <si>
    <t>ORD0316</t>
  </si>
  <si>
    <t>Katherine Cohen</t>
  </si>
  <si>
    <t>ORD0317</t>
  </si>
  <si>
    <t>Catherine Jennings</t>
  </si>
  <si>
    <t>ORD0318</t>
  </si>
  <si>
    <t>Kelly Johnson DDS</t>
  </si>
  <si>
    <t>ORD0319</t>
  </si>
  <si>
    <t>Jaime Herrera</t>
  </si>
  <si>
    <t>ORD0320</t>
  </si>
  <si>
    <t>Erin Garrett</t>
  </si>
  <si>
    <t>ORD0321</t>
  </si>
  <si>
    <t>2025-06-27</t>
  </si>
  <si>
    <t>Tammy Lawson</t>
  </si>
  <si>
    <t>ORD0322</t>
  </si>
  <si>
    <t>2025-09-22</t>
  </si>
  <si>
    <t>Mark Kelly</t>
  </si>
  <si>
    <t>ORD0323</t>
  </si>
  <si>
    <t>Lisa Simpson</t>
  </si>
  <si>
    <t>ORD0324</t>
  </si>
  <si>
    <t>Robert Davis</t>
  </si>
  <si>
    <t>ORD0325</t>
  </si>
  <si>
    <t>Mr. Juan Snyder</t>
  </si>
  <si>
    <t>ORD0326</t>
  </si>
  <si>
    <t>2025-06-25</t>
  </si>
  <si>
    <t>ORD0327</t>
  </si>
  <si>
    <t>Matthew Baldwin</t>
  </si>
  <si>
    <t>ORD0328</t>
  </si>
  <si>
    <t>Rebekah King</t>
  </si>
  <si>
    <t>ORD0329</t>
  </si>
  <si>
    <t>2025-07-25</t>
  </si>
  <si>
    <t>Gabrielle Mitchell</t>
  </si>
  <si>
    <t>ORD0330</t>
  </si>
  <si>
    <t>2025-08-18</t>
  </si>
  <si>
    <t>Bruce Miller</t>
  </si>
  <si>
    <t>ORD0331</t>
  </si>
  <si>
    <t>2025-04-21</t>
  </si>
  <si>
    <t>Karen Cox</t>
  </si>
  <si>
    <t>ORD0332</t>
  </si>
  <si>
    <t>2025-06-26</t>
  </si>
  <si>
    <t>Kimberly Shah</t>
  </si>
  <si>
    <t>ORD0333</t>
  </si>
  <si>
    <t>Kimberly Johnson</t>
  </si>
  <si>
    <t>ORD0334</t>
  </si>
  <si>
    <t>2025-09-20</t>
  </si>
  <si>
    <t>Nicholas Brown</t>
  </si>
  <si>
    <t>ORD0335</t>
  </si>
  <si>
    <t>Kaitlyn Smith</t>
  </si>
  <si>
    <t>ORD0336</t>
  </si>
  <si>
    <t>Debra Armstrong</t>
  </si>
  <si>
    <t>ORD0337</t>
  </si>
  <si>
    <t>Michael Long</t>
  </si>
  <si>
    <t>ORD0338</t>
  </si>
  <si>
    <t>Eric Villarreal</t>
  </si>
  <si>
    <t>ORD0339</t>
  </si>
  <si>
    <t>2025-11-02</t>
  </si>
  <si>
    <t>James Diaz</t>
  </si>
  <si>
    <t>ORD0340</t>
  </si>
  <si>
    <t>Penny Love</t>
  </si>
  <si>
    <t>ORD0341</t>
  </si>
  <si>
    <t>2025-06-12</t>
  </si>
  <si>
    <t>Kathleen Reynolds</t>
  </si>
  <si>
    <t>ORD0342</t>
  </si>
  <si>
    <t>Brandi Rosales</t>
  </si>
  <si>
    <t>ORD0343</t>
  </si>
  <si>
    <t>2025-03-20</t>
  </si>
  <si>
    <t>Christopher Banks</t>
  </si>
  <si>
    <t>ORD0344</t>
  </si>
  <si>
    <t>2025-12-17</t>
  </si>
  <si>
    <t>Ryan Wright</t>
  </si>
  <si>
    <t>ORD0345</t>
  </si>
  <si>
    <t>2025-09-03</t>
  </si>
  <si>
    <t>Thomas Long</t>
  </si>
  <si>
    <t>ORD0346</t>
  </si>
  <si>
    <t>2025-10-23</t>
  </si>
  <si>
    <t>William Pena</t>
  </si>
  <si>
    <t>ORD0347</t>
  </si>
  <si>
    <t>2025-06-09</t>
  </si>
  <si>
    <t>Matthew Weiss</t>
  </si>
  <si>
    <t>ORD0348</t>
  </si>
  <si>
    <t>Sherri Stevenson</t>
  </si>
  <si>
    <t>ORD0349</t>
  </si>
  <si>
    <t>2025-01-03</t>
  </si>
  <si>
    <t>Patrick Robertson</t>
  </si>
  <si>
    <t>ORD0350</t>
  </si>
  <si>
    <t>2025-01-29</t>
  </si>
  <si>
    <t>Abigail Kerr</t>
  </si>
  <si>
    <t>ORD0351</t>
  </si>
  <si>
    <t>James Maldonado</t>
  </si>
  <si>
    <t>ORD0352</t>
  </si>
  <si>
    <t>2025-01-06</t>
  </si>
  <si>
    <t>Jason Jenkins</t>
  </si>
  <si>
    <t>ORD0353</t>
  </si>
  <si>
    <t>2025-03-12</t>
  </si>
  <si>
    <t>ORD0354</t>
  </si>
  <si>
    <t>2025-12-15</t>
  </si>
  <si>
    <t>James Todd</t>
  </si>
  <si>
    <t>ORD0355</t>
  </si>
  <si>
    <t>Sheryl Reeves</t>
  </si>
  <si>
    <t>ORD0356</t>
  </si>
  <si>
    <t>2025-11-11</t>
  </si>
  <si>
    <t>Stacy Nelson</t>
  </si>
  <si>
    <t>ORD0357</t>
  </si>
  <si>
    <t>Wanda Mckenzie</t>
  </si>
  <si>
    <t>ORD0358</t>
  </si>
  <si>
    <t>Benjamin Wilson</t>
  </si>
  <si>
    <t>ORD0359</t>
  </si>
  <si>
    <t>2025-03-07</t>
  </si>
  <si>
    <t>Kelly Hooper</t>
  </si>
  <si>
    <t>ORD0360</t>
  </si>
  <si>
    <t>Luke Lang</t>
  </si>
  <si>
    <t>ORD0361</t>
  </si>
  <si>
    <t>Pamela Berry</t>
  </si>
  <si>
    <t>ORD0362</t>
  </si>
  <si>
    <t>2025-04-24</t>
  </si>
  <si>
    <t>Michael Mclaughlin</t>
  </si>
  <si>
    <t>ORD0363</t>
  </si>
  <si>
    <t>Susan Scott</t>
  </si>
  <si>
    <t>ORD0364</t>
  </si>
  <si>
    <t>Claire Poole</t>
  </si>
  <si>
    <t>ORD0365</t>
  </si>
  <si>
    <t>Katie Carson</t>
  </si>
  <si>
    <t>ORD0366</t>
  </si>
  <si>
    <t>2025-05-04</t>
  </si>
  <si>
    <t>Erin Robinson</t>
  </si>
  <si>
    <t>ORD0367</t>
  </si>
  <si>
    <t>Shawn Oliver</t>
  </si>
  <si>
    <t>ORD0368</t>
  </si>
  <si>
    <t>2025-12-29</t>
  </si>
  <si>
    <t>Patrick Gonzalez</t>
  </si>
  <si>
    <t>ORD0369</t>
  </si>
  <si>
    <t>2025-01-05</t>
  </si>
  <si>
    <t>Belinda Johnson</t>
  </si>
  <si>
    <t>ORD0370</t>
  </si>
  <si>
    <t>2025-08-10</t>
  </si>
  <si>
    <t>Alexander Thomas</t>
  </si>
  <si>
    <t>ORD0371</t>
  </si>
  <si>
    <t>Austin Stephens</t>
  </si>
  <si>
    <t>ORD0372</t>
  </si>
  <si>
    <t>Derrick Lynch</t>
  </si>
  <si>
    <t>ORD0373</t>
  </si>
  <si>
    <t>2025-05-19</t>
  </si>
  <si>
    <t>Jessica Allen</t>
  </si>
  <si>
    <t>ORD0374</t>
  </si>
  <si>
    <t>Melissa Anderson</t>
  </si>
  <si>
    <t>ORD0375</t>
  </si>
  <si>
    <t>Madison Mejia</t>
  </si>
  <si>
    <t>ORD0376</t>
  </si>
  <si>
    <t>Shannon Gregory</t>
  </si>
  <si>
    <t>ORD0377</t>
  </si>
  <si>
    <t>2025-01-25</t>
  </si>
  <si>
    <t>James Clark</t>
  </si>
  <si>
    <t>ORD0378</t>
  </si>
  <si>
    <t>2025-02-16</t>
  </si>
  <si>
    <t>Carolyn Anderson</t>
  </si>
  <si>
    <t>ORD0379</t>
  </si>
  <si>
    <t>Matthew Collins</t>
  </si>
  <si>
    <t>ORD0380</t>
  </si>
  <si>
    <t>Caleb Martin</t>
  </si>
  <si>
    <t>ORD0381</t>
  </si>
  <si>
    <t>2025-06-02</t>
  </si>
  <si>
    <t>Jennifer Decker</t>
  </si>
  <si>
    <t>ORD0382</t>
  </si>
  <si>
    <t>2025-10-19</t>
  </si>
  <si>
    <t>Phyllis Riley</t>
  </si>
  <si>
    <t>ORD0383</t>
  </si>
  <si>
    <t>Chelsea Reilly</t>
  </si>
  <si>
    <t>ORD0384</t>
  </si>
  <si>
    <t>Joyce Edwards</t>
  </si>
  <si>
    <t>ORD0385</t>
  </si>
  <si>
    <t>Evan Rivera</t>
  </si>
  <si>
    <t>ORD0386</t>
  </si>
  <si>
    <t>Kayla White</t>
  </si>
  <si>
    <t>ORD0387</t>
  </si>
  <si>
    <t>2025-06-11</t>
  </si>
  <si>
    <t>Amy Howell</t>
  </si>
  <si>
    <t>ORD0388</t>
  </si>
  <si>
    <t>Savannah Wright</t>
  </si>
  <si>
    <t>ORD0389</t>
  </si>
  <si>
    <t>Tamara Smith</t>
  </si>
  <si>
    <t>ORD0390</t>
  </si>
  <si>
    <t>2025-05-03</t>
  </si>
  <si>
    <t>Kathleen Webster</t>
  </si>
  <si>
    <t>ORD0391</t>
  </si>
  <si>
    <t>Andrew Dixon PhD</t>
  </si>
  <si>
    <t>ORD0392</t>
  </si>
  <si>
    <t>Michael Evans</t>
  </si>
  <si>
    <t>ORD0393</t>
  </si>
  <si>
    <t>Sharon Murphy</t>
  </si>
  <si>
    <t>ORD0394</t>
  </si>
  <si>
    <t>Lisa Curtis</t>
  </si>
  <si>
    <t>ORD0395</t>
  </si>
  <si>
    <t>Thomas Leach</t>
  </si>
  <si>
    <t>ORD0396</t>
  </si>
  <si>
    <t>David Hill</t>
  </si>
  <si>
    <t>ORD0397</t>
  </si>
  <si>
    <t>ORD0398</t>
  </si>
  <si>
    <t>2025-12-13</t>
  </si>
  <si>
    <t>Carla Walls</t>
  </si>
  <si>
    <t>ORD0399</t>
  </si>
  <si>
    <t>2025-02-24</t>
  </si>
  <si>
    <t>Sara Foley</t>
  </si>
  <si>
    <t>ORD0400</t>
  </si>
  <si>
    <t>2025-03-09</t>
  </si>
  <si>
    <t>Christopher Gallagher</t>
  </si>
  <si>
    <t>ORD0401</t>
  </si>
  <si>
    <t>Kyle Baxter</t>
  </si>
  <si>
    <t>ORD0402</t>
  </si>
  <si>
    <t>Andrew Parker</t>
  </si>
  <si>
    <t>ORD0403</t>
  </si>
  <si>
    <t>2025-10-15</t>
  </si>
  <si>
    <t>Pamela Watson</t>
  </si>
  <si>
    <t>ORD0404</t>
  </si>
  <si>
    <t>Zachary Johnson</t>
  </si>
  <si>
    <t>ORD0405</t>
  </si>
  <si>
    <t>Valerie Yu</t>
  </si>
  <si>
    <t>ORD0406</t>
  </si>
  <si>
    <t>Christopher Ward</t>
  </si>
  <si>
    <t>ORD0407</t>
  </si>
  <si>
    <t>Sherry Burton</t>
  </si>
  <si>
    <t>ORD0408</t>
  </si>
  <si>
    <t>2025-05-15</t>
  </si>
  <si>
    <t>Kathleen Ford</t>
  </si>
  <si>
    <t>ORD0409</t>
  </si>
  <si>
    <t>2025-09-09</t>
  </si>
  <si>
    <t>Amanda Peters</t>
  </si>
  <si>
    <t>ORD0410</t>
  </si>
  <si>
    <t>Christine Wyatt</t>
  </si>
  <si>
    <t>ORD0411</t>
  </si>
  <si>
    <t>Tonya Holloway</t>
  </si>
  <si>
    <t>ORD0412</t>
  </si>
  <si>
    <t>Ana Burns</t>
  </si>
  <si>
    <t>ORD0413</t>
  </si>
  <si>
    <t>Robert Howard</t>
  </si>
  <si>
    <t>ORD0414</t>
  </si>
  <si>
    <t>2025-01-10</t>
  </si>
  <si>
    <t>Gregory Mccarthy</t>
  </si>
  <si>
    <t>ORD0415</t>
  </si>
  <si>
    <t>Mrs. Gabrielle Roberson</t>
  </si>
  <si>
    <t>ORD0416</t>
  </si>
  <si>
    <t>Cynthia Hamilton</t>
  </si>
  <si>
    <t>ORD0417</t>
  </si>
  <si>
    <t>Sarah Clark</t>
  </si>
  <si>
    <t>ORD0418</t>
  </si>
  <si>
    <t>Mike Foley</t>
  </si>
  <si>
    <t>ORD0419</t>
  </si>
  <si>
    <t>2025-07-10</t>
  </si>
  <si>
    <t>Troy Cain</t>
  </si>
  <si>
    <t>ORD0420</t>
  </si>
  <si>
    <t>Yolanda Andrade</t>
  </si>
  <si>
    <t>ORD0421</t>
  </si>
  <si>
    <t>Ryan Keller</t>
  </si>
  <si>
    <t>ORD0422</t>
  </si>
  <si>
    <t>Kelly Vaughan MD</t>
  </si>
  <si>
    <t>ORD0423</t>
  </si>
  <si>
    <t>William Ellis</t>
  </si>
  <si>
    <t>ORD0424</t>
  </si>
  <si>
    <t>Carrie Glover</t>
  </si>
  <si>
    <t>ORD0425</t>
  </si>
  <si>
    <t>2025-04-01</t>
  </si>
  <si>
    <t>Mr. Paul Johnson</t>
  </si>
  <si>
    <t>ORD0426</t>
  </si>
  <si>
    <t>Thomas Andrade</t>
  </si>
  <si>
    <t>ORD0427</t>
  </si>
  <si>
    <t>2025-07-28</t>
  </si>
  <si>
    <t>Bianca Suarez</t>
  </si>
  <si>
    <t>ORD0428</t>
  </si>
  <si>
    <t>Ashley Prince</t>
  </si>
  <si>
    <t>ORD0429</t>
  </si>
  <si>
    <t>2025-05-14</t>
  </si>
  <si>
    <t>Christopher Murphy</t>
  </si>
  <si>
    <t>ORD0430</t>
  </si>
  <si>
    <t>Andrew Joyce</t>
  </si>
  <si>
    <t>ORD0431</t>
  </si>
  <si>
    <t>2025-05-29</t>
  </si>
  <si>
    <t>Todd Smith</t>
  </si>
  <si>
    <t>ORD0432</t>
  </si>
  <si>
    <t>Michelle Parsons</t>
  </si>
  <si>
    <t>ORD0433</t>
  </si>
  <si>
    <t>Stephanie Williams</t>
  </si>
  <si>
    <t>ORD0434</t>
  </si>
  <si>
    <t>Rebecca Dixon</t>
  </si>
  <si>
    <t>ORD0435</t>
  </si>
  <si>
    <t>Cameron Ramirez</t>
  </si>
  <si>
    <t>ORD0436</t>
  </si>
  <si>
    <t>Tiffany Jones</t>
  </si>
  <si>
    <t>ORD0437</t>
  </si>
  <si>
    <t>2025-10-07</t>
  </si>
  <si>
    <t>Rebecca Chavez</t>
  </si>
  <si>
    <t>ORD0438</t>
  </si>
  <si>
    <t>2025-08-16</t>
  </si>
  <si>
    <t>Jose Gillespie</t>
  </si>
  <si>
    <t>ORD0439</t>
  </si>
  <si>
    <t>Mariah Owens</t>
  </si>
  <si>
    <t>ORD0440</t>
  </si>
  <si>
    <t>Jared Leonard</t>
  </si>
  <si>
    <t>ORD0441</t>
  </si>
  <si>
    <t>Roger Ford</t>
  </si>
  <si>
    <t>ORD0442</t>
  </si>
  <si>
    <t>Kimberly Potter</t>
  </si>
  <si>
    <t>ORD0443</t>
  </si>
  <si>
    <t>2025-04-27</t>
  </si>
  <si>
    <t>Ross Gonzales</t>
  </si>
  <si>
    <t>ORD0444</t>
  </si>
  <si>
    <t>2025-03-11</t>
  </si>
  <si>
    <t>Christopher Solis</t>
  </si>
  <si>
    <t>ORD0445</t>
  </si>
  <si>
    <t>2025-06-22</t>
  </si>
  <si>
    <t>Joshua Mccarty</t>
  </si>
  <si>
    <t>ORD0446</t>
  </si>
  <si>
    <t>Mark Martin</t>
  </si>
  <si>
    <t>ORD0447</t>
  </si>
  <si>
    <t>2025-07-31</t>
  </si>
  <si>
    <t>James Anderson</t>
  </si>
  <si>
    <t>ORD0448</t>
  </si>
  <si>
    <t>2025-09-21</t>
  </si>
  <si>
    <t>Steven Kirk</t>
  </si>
  <si>
    <t>ORD0449</t>
  </si>
  <si>
    <t>Chelsey Gates</t>
  </si>
  <si>
    <t>ORD0450</t>
  </si>
  <si>
    <t>2025-08-13</t>
  </si>
  <si>
    <t>Jacob Pineda</t>
  </si>
  <si>
    <t>ORD0451</t>
  </si>
  <si>
    <t>Mark Peterson</t>
  </si>
  <si>
    <t>ORD0452</t>
  </si>
  <si>
    <t>Benjamin Caldwell</t>
  </si>
  <si>
    <t>ORD0453</t>
  </si>
  <si>
    <t>2025-03-14</t>
  </si>
  <si>
    <t>Jacob West</t>
  </si>
  <si>
    <t>ORD0454</t>
  </si>
  <si>
    <t>Samuel Martinez</t>
  </si>
  <si>
    <t>ORD0455</t>
  </si>
  <si>
    <t>Robert Case</t>
  </si>
  <si>
    <t>ORD0456</t>
  </si>
  <si>
    <t>Jamie Waters</t>
  </si>
  <si>
    <t>ORD0457</t>
  </si>
  <si>
    <t>2025-06-24</t>
  </si>
  <si>
    <t>Devin Stewart</t>
  </si>
  <si>
    <t>ORD0458</t>
  </si>
  <si>
    <t>Kylie Miller</t>
  </si>
  <si>
    <t>ORD0459</t>
  </si>
  <si>
    <t>2025-12-10</t>
  </si>
  <si>
    <t>Joan White</t>
  </si>
  <si>
    <t>ORD0460</t>
  </si>
  <si>
    <t>2025-09-08</t>
  </si>
  <si>
    <t>Derek Smith</t>
  </si>
  <si>
    <t>ORD0461</t>
  </si>
  <si>
    <t>Stanley Dougherty</t>
  </si>
  <si>
    <t>ORD0462</t>
  </si>
  <si>
    <t>2025-04-22</t>
  </si>
  <si>
    <t>Kristin Rodriguez</t>
  </si>
  <si>
    <t>ORD0463</t>
  </si>
  <si>
    <t>2025-11-20</t>
  </si>
  <si>
    <t>Tyler Walker</t>
  </si>
  <si>
    <t>ORD0464</t>
  </si>
  <si>
    <t>William Garner Jr.</t>
  </si>
  <si>
    <t>ORD0465</t>
  </si>
  <si>
    <t>Daniel Alvarez</t>
  </si>
  <si>
    <t>ORD0466</t>
  </si>
  <si>
    <t>Kaitlyn Daniels</t>
  </si>
  <si>
    <t>ORD0467</t>
  </si>
  <si>
    <t>Rachel Morse</t>
  </si>
  <si>
    <t>ORD0468</t>
  </si>
  <si>
    <t>Leslie Sutton</t>
  </si>
  <si>
    <t>ORD0469</t>
  </si>
  <si>
    <t>Shannon Vazquez</t>
  </si>
  <si>
    <t>ORD0470</t>
  </si>
  <si>
    <t>Russell Roach</t>
  </si>
  <si>
    <t>ORD0471</t>
  </si>
  <si>
    <t>Nicole Ingram</t>
  </si>
  <si>
    <t>ORD0472</t>
  </si>
  <si>
    <t>April Campbell</t>
  </si>
  <si>
    <t>ORD0473</t>
  </si>
  <si>
    <t>2025-02-14</t>
  </si>
  <si>
    <t>Jennifer Edwards</t>
  </si>
  <si>
    <t>ORD0474</t>
  </si>
  <si>
    <t>Curtis Richmond</t>
  </si>
  <si>
    <t>ORD0475</t>
  </si>
  <si>
    <t>Alicia Fuller</t>
  </si>
  <si>
    <t>ORD0476</t>
  </si>
  <si>
    <t>Kyle Jackson</t>
  </si>
  <si>
    <t>ORD0477</t>
  </si>
  <si>
    <t>2025-04-09</t>
  </si>
  <si>
    <t>Cynthia Wong</t>
  </si>
  <si>
    <t>ORD0478</t>
  </si>
  <si>
    <t>David Mason</t>
  </si>
  <si>
    <t>ORD0479</t>
  </si>
  <si>
    <t>Angela Hall</t>
  </si>
  <si>
    <t>ORD0480</t>
  </si>
  <si>
    <t>Kelly Garcia</t>
  </si>
  <si>
    <t>ORD0481</t>
  </si>
  <si>
    <t>Terry Brewer</t>
  </si>
  <si>
    <t>ORD0482</t>
  </si>
  <si>
    <t>Karen Clark</t>
  </si>
  <si>
    <t>ORD0483</t>
  </si>
  <si>
    <t>Kelly Turner</t>
  </si>
  <si>
    <t>ORD0484</t>
  </si>
  <si>
    <t>Stacy Winters</t>
  </si>
  <si>
    <t>ORD0485</t>
  </si>
  <si>
    <t>Michael Dickson</t>
  </si>
  <si>
    <t>ORD0486</t>
  </si>
  <si>
    <t>Jennifer Russell</t>
  </si>
  <si>
    <t>ORD0487</t>
  </si>
  <si>
    <t>2025-06-21</t>
  </si>
  <si>
    <t>Janet Porter</t>
  </si>
  <si>
    <t>ORD0488</t>
  </si>
  <si>
    <t>Robert Oneill</t>
  </si>
  <si>
    <t>ORD0489</t>
  </si>
  <si>
    <t>Eric Avery</t>
  </si>
  <si>
    <t>ORD0490</t>
  </si>
  <si>
    <t>Stephen Parker</t>
  </si>
  <si>
    <t>ORD0491</t>
  </si>
  <si>
    <t>2025-11-29</t>
  </si>
  <si>
    <t>Stephen Randall</t>
  </si>
  <si>
    <t>ORD0492</t>
  </si>
  <si>
    <t>Laura Cain</t>
  </si>
  <si>
    <t>ORD0493</t>
  </si>
  <si>
    <t>Leon Gardner</t>
  </si>
  <si>
    <t>ORD0494</t>
  </si>
  <si>
    <t>James Stein</t>
  </si>
  <si>
    <t>ORD0495</t>
  </si>
  <si>
    <t>Laura Proctor</t>
  </si>
  <si>
    <t>ORD0496</t>
  </si>
  <si>
    <t>2025-11-03</t>
  </si>
  <si>
    <t>Stephanie Marsh</t>
  </si>
  <si>
    <t>ORD0497</t>
  </si>
  <si>
    <t>Justin Anderson</t>
  </si>
  <si>
    <t>ORD0498</t>
  </si>
  <si>
    <t>2025-12-04</t>
  </si>
  <si>
    <t>Janice Kennedy</t>
  </si>
  <si>
    <t>ORD0499</t>
  </si>
  <si>
    <t>Patricia Yoder</t>
  </si>
  <si>
    <t>ORD0500</t>
  </si>
  <si>
    <t>2025-03-04</t>
  </si>
  <si>
    <t>ORD0501</t>
  </si>
  <si>
    <t>Jesse Padilla</t>
  </si>
  <si>
    <t>ORD0502</t>
  </si>
  <si>
    <t>Ryan Carson Jr.</t>
  </si>
  <si>
    <t>ORD0503</t>
  </si>
  <si>
    <t>Patricia Mccarty</t>
  </si>
  <si>
    <t>ORD0504</t>
  </si>
  <si>
    <t>Sean Cox</t>
  </si>
  <si>
    <t>ORD0505</t>
  </si>
  <si>
    <t>Victoria Williams</t>
  </si>
  <si>
    <t>ORD0506</t>
  </si>
  <si>
    <t>Kari Torres</t>
  </si>
  <si>
    <t>ORD0507</t>
  </si>
  <si>
    <t>Jordan Randall</t>
  </si>
  <si>
    <t>ORD0508</t>
  </si>
  <si>
    <t>Erika Rodriguez</t>
  </si>
  <si>
    <t>ORD0509</t>
  </si>
  <si>
    <t>2025-02-28</t>
  </si>
  <si>
    <t>Joshua Robles</t>
  </si>
  <si>
    <t>ORD0510</t>
  </si>
  <si>
    <t>Rick Gallagher</t>
  </si>
  <si>
    <t>ORD0511</t>
  </si>
  <si>
    <t>Jessica Carter</t>
  </si>
  <si>
    <t>ORD0512</t>
  </si>
  <si>
    <t>Matthew Miller</t>
  </si>
  <si>
    <t>ORD0513</t>
  </si>
  <si>
    <t>Richard Dennis</t>
  </si>
  <si>
    <t>ORD0514</t>
  </si>
  <si>
    <t>Nancy Simmons</t>
  </si>
  <si>
    <t>ORD0515</t>
  </si>
  <si>
    <t>Justin Griffin</t>
  </si>
  <si>
    <t>ORD0516</t>
  </si>
  <si>
    <t>Raymond Schaefer</t>
  </si>
  <si>
    <t>ORD0517</t>
  </si>
  <si>
    <t>2025-09-04</t>
  </si>
  <si>
    <t>Bill Scott</t>
  </si>
  <si>
    <t>ORD0518</t>
  </si>
  <si>
    <t>Amanda Stevens</t>
  </si>
  <si>
    <t>ORD0519</t>
  </si>
  <si>
    <t>2025-02-22</t>
  </si>
  <si>
    <t>Michael Morales</t>
  </si>
  <si>
    <t>ORD0520</t>
  </si>
  <si>
    <t>Robert Parker</t>
  </si>
  <si>
    <t>ORD0521</t>
  </si>
  <si>
    <t>2025-01-31</t>
  </si>
  <si>
    <t>Vanessa Gonzalez</t>
  </si>
  <si>
    <t>ORD0522</t>
  </si>
  <si>
    <t>Jeffrey Gomez</t>
  </si>
  <si>
    <t>ORD0523</t>
  </si>
  <si>
    <t>Sean Padilla</t>
  </si>
  <si>
    <t>ORD0524</t>
  </si>
  <si>
    <t>2025-10-05</t>
  </si>
  <si>
    <t>Amy Sweeney</t>
  </si>
  <si>
    <t>ORD0525</t>
  </si>
  <si>
    <t>Debbie Castro</t>
  </si>
  <si>
    <t>ORD0526</t>
  </si>
  <si>
    <t>Richard Conrad</t>
  </si>
  <si>
    <t>ORD0527</t>
  </si>
  <si>
    <t>Leslie Smith</t>
  </si>
  <si>
    <t>ORD0528</t>
  </si>
  <si>
    <t>John Dawson</t>
  </si>
  <si>
    <t>ORD0529</t>
  </si>
  <si>
    <t>2025-05-05</t>
  </si>
  <si>
    <t>Bryan Davis</t>
  </si>
  <si>
    <t>ORD0530</t>
  </si>
  <si>
    <t>Roger Thompson</t>
  </si>
  <si>
    <t>ORD0531</t>
  </si>
  <si>
    <t>2025-08-11</t>
  </si>
  <si>
    <t>Justin Cain</t>
  </si>
  <si>
    <t>ORD0532</t>
  </si>
  <si>
    <t>Danny Warner</t>
  </si>
  <si>
    <t>ORD0533</t>
  </si>
  <si>
    <t>Elizabeth Carter</t>
  </si>
  <si>
    <t>ORD0534</t>
  </si>
  <si>
    <t>Anita Webb</t>
  </si>
  <si>
    <t>ORD0535</t>
  </si>
  <si>
    <t>William Anderson</t>
  </si>
  <si>
    <t>ORD0536</t>
  </si>
  <si>
    <t>2025-03-16</t>
  </si>
  <si>
    <t>James Jones</t>
  </si>
  <si>
    <t>ORD0537</t>
  </si>
  <si>
    <t>Michael Perez</t>
  </si>
  <si>
    <t>ORD0538</t>
  </si>
  <si>
    <t>Vanessa Benson</t>
  </si>
  <si>
    <t>ORD0539</t>
  </si>
  <si>
    <t>Tiffany Jimenez</t>
  </si>
  <si>
    <t>ORD0540</t>
  </si>
  <si>
    <t>Jason Henderson</t>
  </si>
  <si>
    <t>ORD0541</t>
  </si>
  <si>
    <t>Gloria Ramirez</t>
  </si>
  <si>
    <t>ORD0542</t>
  </si>
  <si>
    <t>Daniel Skinner</t>
  </si>
  <si>
    <t>ORD0543</t>
  </si>
  <si>
    <t>Dawn Mathews</t>
  </si>
  <si>
    <t>ORD0544</t>
  </si>
  <si>
    <t>Sandra Ross</t>
  </si>
  <si>
    <t>ORD0545</t>
  </si>
  <si>
    <t>Rebekah Harrington</t>
  </si>
  <si>
    <t>ORD0546</t>
  </si>
  <si>
    <t>Andrew Cross</t>
  </si>
  <si>
    <t>ORD0547</t>
  </si>
  <si>
    <t>Michelle Duncan</t>
  </si>
  <si>
    <t>ORD0548</t>
  </si>
  <si>
    <t>Dana Torres</t>
  </si>
  <si>
    <t>ORD0549</t>
  </si>
  <si>
    <t>Mark Aguirre</t>
  </si>
  <si>
    <t>ORD0550</t>
  </si>
  <si>
    <t>Gail Fletcher</t>
  </si>
  <si>
    <t>ORD0551</t>
  </si>
  <si>
    <t>2025-04-05</t>
  </si>
  <si>
    <t>Katrina Jones</t>
  </si>
  <si>
    <t>ORD0552</t>
  </si>
  <si>
    <t>Tara Singh</t>
  </si>
  <si>
    <t>ORD0553</t>
  </si>
  <si>
    <t>Jennifer Mendoza</t>
  </si>
  <si>
    <t>ORD0554</t>
  </si>
  <si>
    <t>Kelly Buck</t>
  </si>
  <si>
    <t>ORD0555</t>
  </si>
  <si>
    <t>Paul Cordova</t>
  </si>
  <si>
    <t>ORD0556</t>
  </si>
  <si>
    <t>2025-10-29</t>
  </si>
  <si>
    <t>Angela Haas</t>
  </si>
  <si>
    <t>ORD0557</t>
  </si>
  <si>
    <t>Jessica Ruiz</t>
  </si>
  <si>
    <t>ORD0558</t>
  </si>
  <si>
    <t>Jane Cohen</t>
  </si>
  <si>
    <t>ORD0559</t>
  </si>
  <si>
    <t>Lisa Bridges</t>
  </si>
  <si>
    <t>ORD0560</t>
  </si>
  <si>
    <t>2025-11-12</t>
  </si>
  <si>
    <t>Joel Lambert</t>
  </si>
  <si>
    <t>ORD0561</t>
  </si>
  <si>
    <t>Raymond Murphy</t>
  </si>
  <si>
    <t>ORD0562</t>
  </si>
  <si>
    <t>Joanna Norman</t>
  </si>
  <si>
    <t>ORD0563</t>
  </si>
  <si>
    <t>Deborah Miller</t>
  </si>
  <si>
    <t>ORD0564</t>
  </si>
  <si>
    <t>George Ellis</t>
  </si>
  <si>
    <t>ORD0565</t>
  </si>
  <si>
    <t>Anthony Simon</t>
  </si>
  <si>
    <t>ORD0566</t>
  </si>
  <si>
    <t>Eric Torres</t>
  </si>
  <si>
    <t>ORD0567</t>
  </si>
  <si>
    <t>Sandra Simon</t>
  </si>
  <si>
    <t>ORD0568</t>
  </si>
  <si>
    <t>Charles Barnes</t>
  </si>
  <si>
    <t>ORD0569</t>
  </si>
  <si>
    <t>Matthew Conley</t>
  </si>
  <si>
    <t>ORD0570</t>
  </si>
  <si>
    <t>Sean Meyers</t>
  </si>
  <si>
    <t>ORD0571</t>
  </si>
  <si>
    <t>Carlos Mendez</t>
  </si>
  <si>
    <t>ORD0572</t>
  </si>
  <si>
    <t>Diana Whitaker</t>
  </si>
  <si>
    <t>ORD0573</t>
  </si>
  <si>
    <t>Connor Lloyd</t>
  </si>
  <si>
    <t>ORD0574</t>
  </si>
  <si>
    <t>2025-10-14</t>
  </si>
  <si>
    <t>Karen Wade</t>
  </si>
  <si>
    <t>ORD0575</t>
  </si>
  <si>
    <t>Andrew Harris</t>
  </si>
  <si>
    <t>ORD0576</t>
  </si>
  <si>
    <t>2025-11-26</t>
  </si>
  <si>
    <t>Sarah Patel</t>
  </si>
  <si>
    <t>ORD0577</t>
  </si>
  <si>
    <t>Jamie Hudson</t>
  </si>
  <si>
    <t>ORD0578</t>
  </si>
  <si>
    <t>Tiffany Francis</t>
  </si>
  <si>
    <t>ORD0579</t>
  </si>
  <si>
    <t>Crystal Lowe</t>
  </si>
  <si>
    <t>ORD0580</t>
  </si>
  <si>
    <t>Chloe Mason</t>
  </si>
  <si>
    <t>ORD0581</t>
  </si>
  <si>
    <t>Jennifer Lynn</t>
  </si>
  <si>
    <t>ORD0582</t>
  </si>
  <si>
    <t>Troy Jones</t>
  </si>
  <si>
    <t>ORD0583</t>
  </si>
  <si>
    <t>Brian Lowery</t>
  </si>
  <si>
    <t>ORD0584</t>
  </si>
  <si>
    <t>Fernando Logan</t>
  </si>
  <si>
    <t>ORD0585</t>
  </si>
  <si>
    <t>Denise Sanchez</t>
  </si>
  <si>
    <t>ORD0586</t>
  </si>
  <si>
    <t>2025-04-18</t>
  </si>
  <si>
    <t>ORD0587</t>
  </si>
  <si>
    <t>Amy Morales</t>
  </si>
  <si>
    <t>ORD0588</t>
  </si>
  <si>
    <t>Michael Clark</t>
  </si>
  <si>
    <t>ORD0589</t>
  </si>
  <si>
    <t>James Hess</t>
  </si>
  <si>
    <t>ORD0590</t>
  </si>
  <si>
    <t>Deborah Jones</t>
  </si>
  <si>
    <t>ORD0591</t>
  </si>
  <si>
    <t>Christian Romero</t>
  </si>
  <si>
    <t>ORD0592</t>
  </si>
  <si>
    <t>2025-06-16</t>
  </si>
  <si>
    <t>Cody Lee</t>
  </si>
  <si>
    <t>ORD0593</t>
  </si>
  <si>
    <t>James Nicholson</t>
  </si>
  <si>
    <t>ORD0594</t>
  </si>
  <si>
    <t>Nathan Allison</t>
  </si>
  <si>
    <t>ORD0595</t>
  </si>
  <si>
    <t>Amanda Holloway</t>
  </si>
  <si>
    <t>ORD0596</t>
  </si>
  <si>
    <t>Courtney Swanson</t>
  </si>
  <si>
    <t>ORD0597</t>
  </si>
  <si>
    <t>2025-08-24</t>
  </si>
  <si>
    <t>Terry Wells</t>
  </si>
  <si>
    <t>ORD0598</t>
  </si>
  <si>
    <t>Mary Martinez</t>
  </si>
  <si>
    <t>ORD0599</t>
  </si>
  <si>
    <t>2025-09-18</t>
  </si>
  <si>
    <t>Garrett Jordan</t>
  </si>
  <si>
    <t>ORD0600</t>
  </si>
  <si>
    <t>Jonathan Hammond</t>
  </si>
  <si>
    <t>ORD0601</t>
  </si>
  <si>
    <t>Michael Jones</t>
  </si>
  <si>
    <t>ORD0602</t>
  </si>
  <si>
    <t>Manuel Hinton</t>
  </si>
  <si>
    <t>ORD0603</t>
  </si>
  <si>
    <t>Lisa Edwards</t>
  </si>
  <si>
    <t>ORD0604</t>
  </si>
  <si>
    <t>2025-06-08</t>
  </si>
  <si>
    <t>Nicholas Kent</t>
  </si>
  <si>
    <t>ORD0605</t>
  </si>
  <si>
    <t>2025-04-20</t>
  </si>
  <si>
    <t>James Snyder</t>
  </si>
  <si>
    <t>ORD0606</t>
  </si>
  <si>
    <t>Vanessa Hamilton</t>
  </si>
  <si>
    <t>ORD0607</t>
  </si>
  <si>
    <t>2025-02-26</t>
  </si>
  <si>
    <t>Billy Berry</t>
  </si>
  <si>
    <t>ORD0608</t>
  </si>
  <si>
    <t>Tristan Sawyer</t>
  </si>
  <si>
    <t>ORD0609</t>
  </si>
  <si>
    <t>Jennifer Hardy</t>
  </si>
  <si>
    <t>ORD0610</t>
  </si>
  <si>
    <t>Michael Griffin</t>
  </si>
  <si>
    <t>ORD0611</t>
  </si>
  <si>
    <t>Jeffrey Price</t>
  </si>
  <si>
    <t>ORD0612</t>
  </si>
  <si>
    <t>Anna Thomas</t>
  </si>
  <si>
    <t>ORD0613</t>
  </si>
  <si>
    <t>Jennifer Weeks</t>
  </si>
  <si>
    <t>ORD0614</t>
  </si>
  <si>
    <t>Amanda Kent</t>
  </si>
  <si>
    <t>ORD0615</t>
  </si>
  <si>
    <t>Raymond Martin</t>
  </si>
  <si>
    <t>ORD0616</t>
  </si>
  <si>
    <t>Richard Blake</t>
  </si>
  <si>
    <t>ORD0617</t>
  </si>
  <si>
    <t>Charles Thompson</t>
  </si>
  <si>
    <t>ORD0618</t>
  </si>
  <si>
    <t>Jodi Hughes</t>
  </si>
  <si>
    <t>ORD0619</t>
  </si>
  <si>
    <t>2025-08-04</t>
  </si>
  <si>
    <t>Rebecca Nguyen</t>
  </si>
  <si>
    <t>ORD0620</t>
  </si>
  <si>
    <t>2025-12-14</t>
  </si>
  <si>
    <t>James Smith</t>
  </si>
  <si>
    <t>ORD0621</t>
  </si>
  <si>
    <t>Jackie Grant</t>
  </si>
  <si>
    <t>ORD0622</t>
  </si>
  <si>
    <t>Andrew Brown</t>
  </si>
  <si>
    <t>ORD0623</t>
  </si>
  <si>
    <t>Jean Leach</t>
  </si>
  <si>
    <t>ORD0624</t>
  </si>
  <si>
    <t>2025-07-07</t>
  </si>
  <si>
    <t>Christopher Cruz</t>
  </si>
  <si>
    <t>ORD0625</t>
  </si>
  <si>
    <t>Michael Spencer MD</t>
  </si>
  <si>
    <t>ORD0626</t>
  </si>
  <si>
    <t>Kevin Mitchell</t>
  </si>
  <si>
    <t>ORD0627</t>
  </si>
  <si>
    <t>John Jones</t>
  </si>
  <si>
    <t>ORD0628</t>
  </si>
  <si>
    <t>Anthony Marshall</t>
  </si>
  <si>
    <t>ORD0629</t>
  </si>
  <si>
    <t>Jeff Dixon</t>
  </si>
  <si>
    <t>ORD0630</t>
  </si>
  <si>
    <t>Shelly Green</t>
  </si>
  <si>
    <t>ORD0631</t>
  </si>
  <si>
    <t>Mark Fox</t>
  </si>
  <si>
    <t>ORD0632</t>
  </si>
  <si>
    <t>Debra Rodriguez</t>
  </si>
  <si>
    <t>ORD0633</t>
  </si>
  <si>
    <t>Marissa Raymond</t>
  </si>
  <si>
    <t>ORD0634</t>
  </si>
  <si>
    <t>2025-05-12</t>
  </si>
  <si>
    <t>Christy Chan</t>
  </si>
  <si>
    <t>ORD0635</t>
  </si>
  <si>
    <t>Amy Evans</t>
  </si>
  <si>
    <t>ORD0636</t>
  </si>
  <si>
    <t>2025-09-05</t>
  </si>
  <si>
    <t>Jennifer Arellano</t>
  </si>
  <si>
    <t>ORD0637</t>
  </si>
  <si>
    <t>John Lambert</t>
  </si>
  <si>
    <t>ORD0638</t>
  </si>
  <si>
    <t>Glen Mclaughlin</t>
  </si>
  <si>
    <t>ORD0639</t>
  </si>
  <si>
    <t>Casey Wilson</t>
  </si>
  <si>
    <t>ORD0640</t>
  </si>
  <si>
    <t>John Larsen</t>
  </si>
  <si>
    <t>ORD0641</t>
  </si>
  <si>
    <t>Claire Perez</t>
  </si>
  <si>
    <t>ORD0642</t>
  </si>
  <si>
    <t>Pamela Valentine</t>
  </si>
  <si>
    <t>ORD0643</t>
  </si>
  <si>
    <t>Cynthia Stone</t>
  </si>
  <si>
    <t>ORD0644</t>
  </si>
  <si>
    <t>Natasha Thomas</t>
  </si>
  <si>
    <t>ORD0645</t>
  </si>
  <si>
    <t>Robert Oliver</t>
  </si>
  <si>
    <t>ORD0646</t>
  </si>
  <si>
    <t>Jacob Williams</t>
  </si>
  <si>
    <t>ORD0647</t>
  </si>
  <si>
    <t>Matthew Moore</t>
  </si>
  <si>
    <t>ORD0648</t>
  </si>
  <si>
    <t>Nicholas Boone</t>
  </si>
  <si>
    <t>ORD0649</t>
  </si>
  <si>
    <t>2025-07-29</t>
  </si>
  <si>
    <t>Courtney Newman</t>
  </si>
  <si>
    <t>ORD0650</t>
  </si>
  <si>
    <t>2025-03-23</t>
  </si>
  <si>
    <t>Stephanie Deleon</t>
  </si>
  <si>
    <t>ORD0651</t>
  </si>
  <si>
    <t>Melinda Smith</t>
  </si>
  <si>
    <t>ORD0652</t>
  </si>
  <si>
    <t>Eric Raymond</t>
  </si>
  <si>
    <t>ORD0653</t>
  </si>
  <si>
    <t>Juan Gilmore</t>
  </si>
  <si>
    <t>ORD0654</t>
  </si>
  <si>
    <t>John Miller</t>
  </si>
  <si>
    <t>ORD0655</t>
  </si>
  <si>
    <t>2025-08-23</t>
  </si>
  <si>
    <t>Melissa Hull</t>
  </si>
  <si>
    <t>ORD0656</t>
  </si>
  <si>
    <t>Erin Barnes</t>
  </si>
  <si>
    <t>ORD0657</t>
  </si>
  <si>
    <t>2025-12-11</t>
  </si>
  <si>
    <t>Kyle Bowen</t>
  </si>
  <si>
    <t>ORD0658</t>
  </si>
  <si>
    <t>Brooke Jackson</t>
  </si>
  <si>
    <t>ORD0659</t>
  </si>
  <si>
    <t>Katie Thomas</t>
  </si>
  <si>
    <t>ORD0660</t>
  </si>
  <si>
    <t>Heather Scott</t>
  </si>
  <si>
    <t>ORD0661</t>
  </si>
  <si>
    <t>Marco Mitchell</t>
  </si>
  <si>
    <t>ORD0662</t>
  </si>
  <si>
    <t>Amber King</t>
  </si>
  <si>
    <t>ORD0663</t>
  </si>
  <si>
    <t>Elizabeth Hill</t>
  </si>
  <si>
    <t>ORD0664</t>
  </si>
  <si>
    <t>Andrea Thomas</t>
  </si>
  <si>
    <t>ORD0665</t>
  </si>
  <si>
    <t>Sarah Campbell</t>
  </si>
  <si>
    <t>ORD0666</t>
  </si>
  <si>
    <t>Theresa Burke</t>
  </si>
  <si>
    <t>ORD0667</t>
  </si>
  <si>
    <t>Loretta Adams</t>
  </si>
  <si>
    <t>ORD0668</t>
  </si>
  <si>
    <t>Brittany Gibbs</t>
  </si>
  <si>
    <t>ORD0669</t>
  </si>
  <si>
    <t>Michael Holmes</t>
  </si>
  <si>
    <t>ORD0670</t>
  </si>
  <si>
    <t>John Goodman</t>
  </si>
  <si>
    <t>ORD0671</t>
  </si>
  <si>
    <t>Lindsey Erickson</t>
  </si>
  <si>
    <t>ORD0672</t>
  </si>
  <si>
    <t>2025-06-30</t>
  </si>
  <si>
    <t>Stephen Valentine</t>
  </si>
  <si>
    <t>ORD0673</t>
  </si>
  <si>
    <t>Adriana Galvan</t>
  </si>
  <si>
    <t>ORD0674</t>
  </si>
  <si>
    <t>2025-02-10</t>
  </si>
  <si>
    <t>Angela Vasquez</t>
  </si>
  <si>
    <t>ORD0675</t>
  </si>
  <si>
    <t>2025-11-06</t>
  </si>
  <si>
    <t>Tony Bishop</t>
  </si>
  <si>
    <t>ORD0676</t>
  </si>
  <si>
    <t>Daniel Trujillo</t>
  </si>
  <si>
    <t>ORD0677</t>
  </si>
  <si>
    <t>Dr. Christopher Calhoun</t>
  </si>
  <si>
    <t>ORD0678</t>
  </si>
  <si>
    <t>2025-10-27</t>
  </si>
  <si>
    <t>Bryan Howard</t>
  </si>
  <si>
    <t>ORD0679</t>
  </si>
  <si>
    <t>Jason Wilkerson</t>
  </si>
  <si>
    <t>ORD0680</t>
  </si>
  <si>
    <t>David Davis</t>
  </si>
  <si>
    <t>ORD0681</t>
  </si>
  <si>
    <t>2025-08-28</t>
  </si>
  <si>
    <t>Frank Kelly</t>
  </si>
  <si>
    <t>ORD0682</t>
  </si>
  <si>
    <t>2025-08-30</t>
  </si>
  <si>
    <t>Danielle Ball</t>
  </si>
  <si>
    <t>ORD0683</t>
  </si>
  <si>
    <t>Diane Harper</t>
  </si>
  <si>
    <t>ORD0684</t>
  </si>
  <si>
    <t>Charles Morgan</t>
  </si>
  <si>
    <t>ORD0685</t>
  </si>
  <si>
    <t>Heather Nelson</t>
  </si>
  <si>
    <t>ORD0686</t>
  </si>
  <si>
    <t>Andrew Becker</t>
  </si>
  <si>
    <t>ORD0687</t>
  </si>
  <si>
    <t>Donald Jones</t>
  </si>
  <si>
    <t>ORD0688</t>
  </si>
  <si>
    <t>Stephanie Wilson</t>
  </si>
  <si>
    <t>ORD0689</t>
  </si>
  <si>
    <t>Rebecca Ray</t>
  </si>
  <si>
    <t>ORD0690</t>
  </si>
  <si>
    <t>Nicholas Mitchell</t>
  </si>
  <si>
    <t>ORD0691</t>
  </si>
  <si>
    <t>Christopher Lara</t>
  </si>
  <si>
    <t>ORD0692</t>
  </si>
  <si>
    <t>Emily Benton</t>
  </si>
  <si>
    <t>ORD0693</t>
  </si>
  <si>
    <t>Mr. Sean Rivers</t>
  </si>
  <si>
    <t>ORD0694</t>
  </si>
  <si>
    <t>Matthew Bennett</t>
  </si>
  <si>
    <t>ORD0695</t>
  </si>
  <si>
    <t>Lisa Shelton</t>
  </si>
  <si>
    <t>ORD0696</t>
  </si>
  <si>
    <t>Sharon Fowler</t>
  </si>
  <si>
    <t>ORD0697</t>
  </si>
  <si>
    <t>Kenneth Johnson</t>
  </si>
  <si>
    <t>ORD0698</t>
  </si>
  <si>
    <t>Theresa Ramirez</t>
  </si>
  <si>
    <t>ORD0699</t>
  </si>
  <si>
    <t>Julie Cobb</t>
  </si>
  <si>
    <t>ORD0700</t>
  </si>
  <si>
    <t>Heather Fisher</t>
  </si>
  <si>
    <t>ORD0701</t>
  </si>
  <si>
    <t>2025-02-06</t>
  </si>
  <si>
    <t>Heidi Hoover</t>
  </si>
  <si>
    <t>ORD0702</t>
  </si>
  <si>
    <t>Jeffrey Brown</t>
  </si>
  <si>
    <t>ORD0703</t>
  </si>
  <si>
    <t>Karen Wilcox</t>
  </si>
  <si>
    <t>ORD0704</t>
  </si>
  <si>
    <t>2025-09-29</t>
  </si>
  <si>
    <t>Brianna Hester</t>
  </si>
  <si>
    <t>ORD0705</t>
  </si>
  <si>
    <t>Danielle English</t>
  </si>
  <si>
    <t>ORD0706</t>
  </si>
  <si>
    <t>Jessica Arias</t>
  </si>
  <si>
    <t>ORD0707</t>
  </si>
  <si>
    <t>Mandy Gordon</t>
  </si>
  <si>
    <t>ORD0708</t>
  </si>
  <si>
    <t>Hannah Williams</t>
  </si>
  <si>
    <t>ORD0709</t>
  </si>
  <si>
    <t>Bryan Buchanan</t>
  </si>
  <si>
    <t>ORD0710</t>
  </si>
  <si>
    <t>Timothy Washington</t>
  </si>
  <si>
    <t>ORD0711</t>
  </si>
  <si>
    <t>Kimberly Santos</t>
  </si>
  <si>
    <t>ORD0712</t>
  </si>
  <si>
    <t>Julie Young DDS</t>
  </si>
  <si>
    <t>ORD0713</t>
  </si>
  <si>
    <t>Rachel Thomas</t>
  </si>
  <si>
    <t>ORD0714</t>
  </si>
  <si>
    <t>Sheryl Greene</t>
  </si>
  <si>
    <t>ORD0715</t>
  </si>
  <si>
    <t>2025-07-24</t>
  </si>
  <si>
    <t>ORD0716</t>
  </si>
  <si>
    <t>David Bowen</t>
  </si>
  <si>
    <t>ORD0717</t>
  </si>
  <si>
    <t>2025-05-13</t>
  </si>
  <si>
    <t>Richard Evans</t>
  </si>
  <si>
    <t>ORD0718</t>
  </si>
  <si>
    <t>Stephanie Martin</t>
  </si>
  <si>
    <t>ORD0719</t>
  </si>
  <si>
    <t>Brian Sanchez</t>
  </si>
  <si>
    <t>ORD0720</t>
  </si>
  <si>
    <t>Jennifer Wells</t>
  </si>
  <si>
    <t>ORD0721</t>
  </si>
  <si>
    <t>Renee Acosta</t>
  </si>
  <si>
    <t>ORD0722</t>
  </si>
  <si>
    <t>Michael Wilcox</t>
  </si>
  <si>
    <t>ORD0723</t>
  </si>
  <si>
    <t>Barbara Rowland</t>
  </si>
  <si>
    <t>ORD0724</t>
  </si>
  <si>
    <t>2025-04-07</t>
  </si>
  <si>
    <t>Andrew Garrison</t>
  </si>
  <si>
    <t>ORD0725</t>
  </si>
  <si>
    <t>Monica Evans</t>
  </si>
  <si>
    <t>ORD0726</t>
  </si>
  <si>
    <t>Stephanie Miller PhD</t>
  </si>
  <si>
    <t>ORD0727</t>
  </si>
  <si>
    <t>Jamie Murray</t>
  </si>
  <si>
    <t>ORD0728</t>
  </si>
  <si>
    <t>Felicia Steele</t>
  </si>
  <si>
    <t>ORD0729</t>
  </si>
  <si>
    <t>2025-10-21</t>
  </si>
  <si>
    <t>George Frank</t>
  </si>
  <si>
    <t>ORD0730</t>
  </si>
  <si>
    <t>Jordan Hale</t>
  </si>
  <si>
    <t>ORD0731</t>
  </si>
  <si>
    <t>Wanda Leblanc</t>
  </si>
  <si>
    <t>ORD0732</t>
  </si>
  <si>
    <t>Anna Smith</t>
  </si>
  <si>
    <t>ORD0733</t>
  </si>
  <si>
    <t>Cody Wall</t>
  </si>
  <si>
    <t>ORD0734</t>
  </si>
  <si>
    <t>Gary Howard</t>
  </si>
  <si>
    <t>ORD0735</t>
  </si>
  <si>
    <t>Todd Lester</t>
  </si>
  <si>
    <t>ORD0736</t>
  </si>
  <si>
    <t>Tyrone Beasley</t>
  </si>
  <si>
    <t>ORD0737</t>
  </si>
  <si>
    <t>Jeffrey Cortez</t>
  </si>
  <si>
    <t>ORD0738</t>
  </si>
  <si>
    <t>David Gibson</t>
  </si>
  <si>
    <t>ORD0739</t>
  </si>
  <si>
    <t>Brenda Ward</t>
  </si>
  <si>
    <t>ORD0740</t>
  </si>
  <si>
    <t>Beth Harper</t>
  </si>
  <si>
    <t>ORD0741</t>
  </si>
  <si>
    <t>ORD0742</t>
  </si>
  <si>
    <t>Kendra Lopez</t>
  </si>
  <si>
    <t>ORD0743</t>
  </si>
  <si>
    <t>Julie Gilbert</t>
  </si>
  <si>
    <t>ORD0744</t>
  </si>
  <si>
    <t>Eduardo Martin</t>
  </si>
  <si>
    <t>ORD0745</t>
  </si>
  <si>
    <t>Gregory Turner</t>
  </si>
  <si>
    <t>ORD0746</t>
  </si>
  <si>
    <t>Katherine Curry</t>
  </si>
  <si>
    <t>ORD0747</t>
  </si>
  <si>
    <t>Mary Anderson</t>
  </si>
  <si>
    <t>ORD0748</t>
  </si>
  <si>
    <t>Paul Wolfe</t>
  </si>
  <si>
    <t>ORD0749</t>
  </si>
  <si>
    <t>Anthony Robinson</t>
  </si>
  <si>
    <t>ORD0750</t>
  </si>
  <si>
    <t>Desiree Chapman</t>
  </si>
  <si>
    <t>ORD0751</t>
  </si>
  <si>
    <t>2025-02-05</t>
  </si>
  <si>
    <t>Peter Soto</t>
  </si>
  <si>
    <t>ORD0752</t>
  </si>
  <si>
    <t>2025-06-17</t>
  </si>
  <si>
    <t>Samantha Davis</t>
  </si>
  <si>
    <t>ORD0753</t>
  </si>
  <si>
    <t>Leah Riley</t>
  </si>
  <si>
    <t>ORD0754</t>
  </si>
  <si>
    <t>2025-08-15</t>
  </si>
  <si>
    <t>Sandra Brock</t>
  </si>
  <si>
    <t>ORD0755</t>
  </si>
  <si>
    <t>2025-05-21</t>
  </si>
  <si>
    <t>Daniel Hendricks</t>
  </si>
  <si>
    <t>ORD0756</t>
  </si>
  <si>
    <t>Chris Cox</t>
  </si>
  <si>
    <t>ORD0757</t>
  </si>
  <si>
    <t>Michele Williams</t>
  </si>
  <si>
    <t>ORD0758</t>
  </si>
  <si>
    <t>2025-02-03</t>
  </si>
  <si>
    <t>Jeffrey Wilson</t>
  </si>
  <si>
    <t>ORD0759</t>
  </si>
  <si>
    <t>Amber Baird</t>
  </si>
  <si>
    <t>ORD0760</t>
  </si>
  <si>
    <t>Henry Owens</t>
  </si>
  <si>
    <t>ORD0761</t>
  </si>
  <si>
    <t>Tanya Rodriguez</t>
  </si>
  <si>
    <t>ORD0762</t>
  </si>
  <si>
    <t>Patrick Douglas</t>
  </si>
  <si>
    <t>ORD0763</t>
  </si>
  <si>
    <t>Michael Mcfarland</t>
  </si>
  <si>
    <t>ORD0764</t>
  </si>
  <si>
    <t>ORD0765</t>
  </si>
  <si>
    <t>David Brown</t>
  </si>
  <si>
    <t>ORD0766</t>
  </si>
  <si>
    <t>Karen Mahoney</t>
  </si>
  <si>
    <t>ORD0767</t>
  </si>
  <si>
    <t>Ryan Harris</t>
  </si>
  <si>
    <t>ORD0768</t>
  </si>
  <si>
    <t>Jacqueline Craig</t>
  </si>
  <si>
    <t>ORD0769</t>
  </si>
  <si>
    <t>Martin Pearson</t>
  </si>
  <si>
    <t>ORD0770</t>
  </si>
  <si>
    <t>Jason Estrada</t>
  </si>
  <si>
    <t>ORD0771</t>
  </si>
  <si>
    <t>Emily Fields</t>
  </si>
  <si>
    <t>ORD0772</t>
  </si>
  <si>
    <t>Eric Quinn</t>
  </si>
  <si>
    <t>ORD0773</t>
  </si>
  <si>
    <t>Rachel Reid</t>
  </si>
  <si>
    <t>ORD0774</t>
  </si>
  <si>
    <t>Angela Lee</t>
  </si>
  <si>
    <t>ORD0775</t>
  </si>
  <si>
    <t>Michael Greer</t>
  </si>
  <si>
    <t>ORD0776</t>
  </si>
  <si>
    <t>Ryan Turner</t>
  </si>
  <si>
    <t>ORD0777</t>
  </si>
  <si>
    <t>Sarah Alexander</t>
  </si>
  <si>
    <t>ORD0778</t>
  </si>
  <si>
    <t>Yolanda Kim</t>
  </si>
  <si>
    <t>ORD0779</t>
  </si>
  <si>
    <t>Rebecca Williams</t>
  </si>
  <si>
    <t>ORD0780</t>
  </si>
  <si>
    <t>Luke Orr</t>
  </si>
  <si>
    <t>ORD0781</t>
  </si>
  <si>
    <t>Tracey Dillon</t>
  </si>
  <si>
    <t>ORD0782</t>
  </si>
  <si>
    <t>2025-09-24</t>
  </si>
  <si>
    <t>Kirsten Green</t>
  </si>
  <si>
    <t>ORD0783</t>
  </si>
  <si>
    <t>Sarah Davis</t>
  </si>
  <si>
    <t>ORD0784</t>
  </si>
  <si>
    <t>Charles Johnson</t>
  </si>
  <si>
    <t>ORD0785</t>
  </si>
  <si>
    <t>Tracy Fox</t>
  </si>
  <si>
    <t>ORD0786</t>
  </si>
  <si>
    <t>James Ross</t>
  </si>
  <si>
    <t>ORD0787</t>
  </si>
  <si>
    <t>2025-07-20</t>
  </si>
  <si>
    <t>Lauren Oconnor</t>
  </si>
  <si>
    <t>ORD0788</t>
  </si>
  <si>
    <t>Larry Wise</t>
  </si>
  <si>
    <t>ORD0789</t>
  </si>
  <si>
    <t>Jacob Simpson</t>
  </si>
  <si>
    <t>ORD0790</t>
  </si>
  <si>
    <t>Dr. Anna Lynch</t>
  </si>
  <si>
    <t>ORD0791</t>
  </si>
  <si>
    <t>Michael Torres</t>
  </si>
  <si>
    <t>ORD0792</t>
  </si>
  <si>
    <t>2025-12-02</t>
  </si>
  <si>
    <t>Heather Goodman</t>
  </si>
  <si>
    <t>ORD0793</t>
  </si>
  <si>
    <t>Tammy Jacobs</t>
  </si>
  <si>
    <t>ORD0794</t>
  </si>
  <si>
    <t>Brandi Flores</t>
  </si>
  <si>
    <t>ORD0795</t>
  </si>
  <si>
    <t>2025-04-04</t>
  </si>
  <si>
    <t>Thomas Weeks</t>
  </si>
  <si>
    <t>ORD0796</t>
  </si>
  <si>
    <t>Mandy Willis</t>
  </si>
  <si>
    <t>ORD0797</t>
  </si>
  <si>
    <t>Jessica Palmer</t>
  </si>
  <si>
    <t>ORD0798</t>
  </si>
  <si>
    <t>Darrell Brown</t>
  </si>
  <si>
    <t>ORD0799</t>
  </si>
  <si>
    <t>Alex Barton</t>
  </si>
  <si>
    <t>ORD0800</t>
  </si>
  <si>
    <t>Johnathan Peterson</t>
  </si>
  <si>
    <t>ORD0801</t>
  </si>
  <si>
    <t>2025-10-26</t>
  </si>
  <si>
    <t>Alicia Bryan</t>
  </si>
  <si>
    <t>ORD0802</t>
  </si>
  <si>
    <t>2025-09-16</t>
  </si>
  <si>
    <t>Melissa Hall</t>
  </si>
  <si>
    <t>ORD0803</t>
  </si>
  <si>
    <t>2025-02-21</t>
  </si>
  <si>
    <t>Ronald Bell</t>
  </si>
  <si>
    <t>ORD0804</t>
  </si>
  <si>
    <t>Angela Hamilton</t>
  </si>
  <si>
    <t>ORD0805</t>
  </si>
  <si>
    <t>Dana Ruiz</t>
  </si>
  <si>
    <t>ORD0806</t>
  </si>
  <si>
    <t>Paula Mendoza</t>
  </si>
  <si>
    <t>ORD0807</t>
  </si>
  <si>
    <t>Sharon Williamson</t>
  </si>
  <si>
    <t>ORD0808</t>
  </si>
  <si>
    <t>Crystal Anderson</t>
  </si>
  <si>
    <t>ORD0809</t>
  </si>
  <si>
    <t>ORD0810</t>
  </si>
  <si>
    <t>David Shaffer</t>
  </si>
  <si>
    <t>ORD0811</t>
  </si>
  <si>
    <t>Ronald Carroll</t>
  </si>
  <si>
    <t>ORD0812</t>
  </si>
  <si>
    <t>Kimberly Valdez</t>
  </si>
  <si>
    <t>ORD0813</t>
  </si>
  <si>
    <t>Lisa Watkins</t>
  </si>
  <si>
    <t>ORD0814</t>
  </si>
  <si>
    <t>Vanessa Payne</t>
  </si>
  <si>
    <t>ORD0815</t>
  </si>
  <si>
    <t>Angela James</t>
  </si>
  <si>
    <t>ORD0816</t>
  </si>
  <si>
    <t>Krista Casey</t>
  </si>
  <si>
    <t>ORD0817</t>
  </si>
  <si>
    <t>Pam Ferguson</t>
  </si>
  <si>
    <t>ORD0818</t>
  </si>
  <si>
    <t>Cynthia Williams</t>
  </si>
  <si>
    <t>ORD0819</t>
  </si>
  <si>
    <t>Kayla Gilmore</t>
  </si>
  <si>
    <t>ORD0820</t>
  </si>
  <si>
    <t>Kyle Richardson</t>
  </si>
  <si>
    <t>ORD0821</t>
  </si>
  <si>
    <t>Shelly Turner</t>
  </si>
  <si>
    <t>ORD0822</t>
  </si>
  <si>
    <t>Samantha Holmes</t>
  </si>
  <si>
    <t>ORD0823</t>
  </si>
  <si>
    <t>Ariana Mitchell</t>
  </si>
  <si>
    <t>ORD0824</t>
  </si>
  <si>
    <t>Ashley Huffman</t>
  </si>
  <si>
    <t>ORD0825</t>
  </si>
  <si>
    <t>Lauren Turner</t>
  </si>
  <si>
    <t>ORD0826</t>
  </si>
  <si>
    <t>Carlos Brewer</t>
  </si>
  <si>
    <t>ORD0827</t>
  </si>
  <si>
    <t>Michael Henry</t>
  </si>
  <si>
    <t>ORD0828</t>
  </si>
  <si>
    <t>Catherine Friedman</t>
  </si>
  <si>
    <t>ORD0829</t>
  </si>
  <si>
    <t>Tammy Brooks</t>
  </si>
  <si>
    <t>ORD0830</t>
  </si>
  <si>
    <t>Kevin Atkins</t>
  </si>
  <si>
    <t>ORD0831</t>
  </si>
  <si>
    <t>Mark Winters</t>
  </si>
  <si>
    <t>ORD0832</t>
  </si>
  <si>
    <t>Catherine Moore</t>
  </si>
  <si>
    <t>ORD0833</t>
  </si>
  <si>
    <t>Megan Thomas</t>
  </si>
  <si>
    <t>ORD0834</t>
  </si>
  <si>
    <t>Cynthia Griffin</t>
  </si>
  <si>
    <t>ORD0835</t>
  </si>
  <si>
    <t>Katie Beasley</t>
  </si>
  <si>
    <t>ORD0836</t>
  </si>
  <si>
    <t>Kenneth Ward</t>
  </si>
  <si>
    <t>ORD0837</t>
  </si>
  <si>
    <t>2025-03-15</t>
  </si>
  <si>
    <t>Leslie Stewart</t>
  </si>
  <si>
    <t>ORD0838</t>
  </si>
  <si>
    <t>Kenneth Vincent</t>
  </si>
  <si>
    <t>ORD0839</t>
  </si>
  <si>
    <t>William Mcbride</t>
  </si>
  <si>
    <t>ORD0840</t>
  </si>
  <si>
    <t>Alan Rose</t>
  </si>
  <si>
    <t>ORD0841</t>
  </si>
  <si>
    <t>Susan Wilson</t>
  </si>
  <si>
    <t>ORD0842</t>
  </si>
  <si>
    <t>Joe Murphy</t>
  </si>
  <si>
    <t>ORD0843</t>
  </si>
  <si>
    <t>Stacy Garcia</t>
  </si>
  <si>
    <t>ORD0844</t>
  </si>
  <si>
    <t>Chad Schultz</t>
  </si>
  <si>
    <t>ORD0845</t>
  </si>
  <si>
    <t>Audrey Hall</t>
  </si>
  <si>
    <t>ORD0846</t>
  </si>
  <si>
    <t>Larry Greer</t>
  </si>
  <si>
    <t>ORD0847</t>
  </si>
  <si>
    <t>Tara Wilson</t>
  </si>
  <si>
    <t>ORD0848</t>
  </si>
  <si>
    <t>Jeffrey Parrish</t>
  </si>
  <si>
    <t>ORD0849</t>
  </si>
  <si>
    <t>2025-09-15</t>
  </si>
  <si>
    <t>John Sanchez</t>
  </si>
  <si>
    <t>ORD0850</t>
  </si>
  <si>
    <t>Larry Crosby</t>
  </si>
  <si>
    <t>ORD0851</t>
  </si>
  <si>
    <t>2025-08-26</t>
  </si>
  <si>
    <t>Anita Glass</t>
  </si>
  <si>
    <t>ORD0852</t>
  </si>
  <si>
    <t>Laura Dunn</t>
  </si>
  <si>
    <t>ORD0853</t>
  </si>
  <si>
    <t>Jonathan Price</t>
  </si>
  <si>
    <t>ORD0854</t>
  </si>
  <si>
    <t>Sherry Becker</t>
  </si>
  <si>
    <t>ORD0855</t>
  </si>
  <si>
    <t>Maria Turner</t>
  </si>
  <si>
    <t>ORD0856</t>
  </si>
  <si>
    <t>Laura Wyatt</t>
  </si>
  <si>
    <t>ORD0857</t>
  </si>
  <si>
    <t>2025-09-26</t>
  </si>
  <si>
    <t>Renee Simpson</t>
  </si>
  <si>
    <t>ORD0858</t>
  </si>
  <si>
    <t>Eileen Saunders</t>
  </si>
  <si>
    <t>ORD0859</t>
  </si>
  <si>
    <t>Charles Schmidt</t>
  </si>
  <si>
    <t>ORD0860</t>
  </si>
  <si>
    <t>Scott Griffin</t>
  </si>
  <si>
    <t>ORD0861</t>
  </si>
  <si>
    <t>Melissa Stein</t>
  </si>
  <si>
    <t>ORD0862</t>
  </si>
  <si>
    <t>Wesley Wilson</t>
  </si>
  <si>
    <t>ORD0863</t>
  </si>
  <si>
    <t>Brandon Torres</t>
  </si>
  <si>
    <t>ORD0864</t>
  </si>
  <si>
    <t>Jessica Heath</t>
  </si>
  <si>
    <t>ORD0865</t>
  </si>
  <si>
    <t>Zachary Thomas</t>
  </si>
  <si>
    <t>ORD0866</t>
  </si>
  <si>
    <t>Justin Mckinney</t>
  </si>
  <si>
    <t>ORD0867</t>
  </si>
  <si>
    <t>Daniel Murray</t>
  </si>
  <si>
    <t>ORD0868</t>
  </si>
  <si>
    <t>Kevin Mcfarland</t>
  </si>
  <si>
    <t>ORD0869</t>
  </si>
  <si>
    <t>James Beck</t>
  </si>
  <si>
    <t>ORD0870</t>
  </si>
  <si>
    <t>Lori Calhoun</t>
  </si>
  <si>
    <t>ORD0871</t>
  </si>
  <si>
    <t>Tyler Lopez</t>
  </si>
  <si>
    <t>ORD0872</t>
  </si>
  <si>
    <t>2025-01-21</t>
  </si>
  <si>
    <t>Patricia Vasquez</t>
  </si>
  <si>
    <t>ORD0873</t>
  </si>
  <si>
    <t>Lisa Rodriguez</t>
  </si>
  <si>
    <t>ORD0874</t>
  </si>
  <si>
    <t>2025-07-08</t>
  </si>
  <si>
    <t>Melinda Castaneda</t>
  </si>
  <si>
    <t>ORD0875</t>
  </si>
  <si>
    <t>Brandon White</t>
  </si>
  <si>
    <t>ORD0876</t>
  </si>
  <si>
    <t>Nicholas Ward</t>
  </si>
  <si>
    <t>ORD0877</t>
  </si>
  <si>
    <t>2025-08-25</t>
  </si>
  <si>
    <t>Joseph Foley</t>
  </si>
  <si>
    <t>ORD0878</t>
  </si>
  <si>
    <t>Debra Butler</t>
  </si>
  <si>
    <t>ORD0879</t>
  </si>
  <si>
    <t>Joseph Hall</t>
  </si>
  <si>
    <t>ORD0880</t>
  </si>
  <si>
    <t>William Lucero</t>
  </si>
  <si>
    <t>ORD0881</t>
  </si>
  <si>
    <t>Christopher Miller</t>
  </si>
  <si>
    <t>ORD0882</t>
  </si>
  <si>
    <t>Diana White</t>
  </si>
  <si>
    <t>ORD0883</t>
  </si>
  <si>
    <t>Megan Smith</t>
  </si>
  <si>
    <t>ORD0884</t>
  </si>
  <si>
    <t>Brenda Hanson</t>
  </si>
  <si>
    <t>ORD0885</t>
  </si>
  <si>
    <t>2025-02-12</t>
  </si>
  <si>
    <t>Karen Ruiz</t>
  </si>
  <si>
    <t>ORD0886</t>
  </si>
  <si>
    <t>Kim Clark</t>
  </si>
  <si>
    <t>ORD0887</t>
  </si>
  <si>
    <t>Michael Henderson</t>
  </si>
  <si>
    <t>ORD0888</t>
  </si>
  <si>
    <t>Casey Diaz</t>
  </si>
  <si>
    <t>ORD0889</t>
  </si>
  <si>
    <t>Loretta Miller</t>
  </si>
  <si>
    <t>ORD0890</t>
  </si>
  <si>
    <t>Duane Garcia</t>
  </si>
  <si>
    <t>ORD0891</t>
  </si>
  <si>
    <t>Timothy Jackson</t>
  </si>
  <si>
    <t>ORD0892</t>
  </si>
  <si>
    <t>Ashley Blankenship</t>
  </si>
  <si>
    <t>ORD0893</t>
  </si>
  <si>
    <t>Lisa Murray</t>
  </si>
  <si>
    <t>ORD0894</t>
  </si>
  <si>
    <t>Hannah Hansen</t>
  </si>
  <si>
    <t>ORD0895</t>
  </si>
  <si>
    <t>Christopher Thomas</t>
  </si>
  <si>
    <t>ORD0896</t>
  </si>
  <si>
    <t>Cindy Fitzgerald</t>
  </si>
  <si>
    <t>ORD0897</t>
  </si>
  <si>
    <t>Mrs. Maria Simpson</t>
  </si>
  <si>
    <t>ORD0898</t>
  </si>
  <si>
    <t>Samantha Nguyen</t>
  </si>
  <si>
    <t>ORD0899</t>
  </si>
  <si>
    <t>James Freeman</t>
  </si>
  <si>
    <t>ORD0900</t>
  </si>
  <si>
    <t>David Gonzalez</t>
  </si>
  <si>
    <t>ORD0901</t>
  </si>
  <si>
    <t>Jorge Osborne</t>
  </si>
  <si>
    <t>ORD0902</t>
  </si>
  <si>
    <t>Kevin Sharp</t>
  </si>
  <si>
    <t>ORD0903</t>
  </si>
  <si>
    <t>ORD0904</t>
  </si>
  <si>
    <t>Marcus Clay</t>
  </si>
  <si>
    <t>ORD0905</t>
  </si>
  <si>
    <t>Brent Lester</t>
  </si>
  <si>
    <t>ORD0906</t>
  </si>
  <si>
    <t>Rebecca Wilson</t>
  </si>
  <si>
    <t>ORD0907</t>
  </si>
  <si>
    <t>Eric Barton</t>
  </si>
  <si>
    <t>ORD0908</t>
  </si>
  <si>
    <t>Sandra Mills</t>
  </si>
  <si>
    <t>ORD0909</t>
  </si>
  <si>
    <t>Robert Wilson</t>
  </si>
  <si>
    <t>ORD0910</t>
  </si>
  <si>
    <t>Mr. Jonathan Johnson</t>
  </si>
  <si>
    <t>ORD0911</t>
  </si>
  <si>
    <t>Amy Castillo</t>
  </si>
  <si>
    <t>ORD0912</t>
  </si>
  <si>
    <t>Sean Burke</t>
  </si>
  <si>
    <t>ORD0913</t>
  </si>
  <si>
    <t>Robert Madden</t>
  </si>
  <si>
    <t>ORD0914</t>
  </si>
  <si>
    <t>Mary Bernard</t>
  </si>
  <si>
    <t>ORD0915</t>
  </si>
  <si>
    <t>David Frye</t>
  </si>
  <si>
    <t>ORD0916</t>
  </si>
  <si>
    <t>2025-10-03</t>
  </si>
  <si>
    <t>Curtis Nolan</t>
  </si>
  <si>
    <t>ORD0917</t>
  </si>
  <si>
    <t>Melissa Mckay</t>
  </si>
  <si>
    <t>ORD0918</t>
  </si>
  <si>
    <t>Lorraine Gutierrez</t>
  </si>
  <si>
    <t>ORD0919</t>
  </si>
  <si>
    <t>Kyle Thompson</t>
  </si>
  <si>
    <t>ORD0920</t>
  </si>
  <si>
    <t>Jeffrey Hayes</t>
  </si>
  <si>
    <t>ORD0921</t>
  </si>
  <si>
    <t>Mr. Christopher Wilson</t>
  </si>
  <si>
    <t>ORD0922</t>
  </si>
  <si>
    <t>Bryan Graves</t>
  </si>
  <si>
    <t>ORD0923</t>
  </si>
  <si>
    <t>Jim Gregory</t>
  </si>
  <si>
    <t>ORD0924</t>
  </si>
  <si>
    <t>Traci Dougherty</t>
  </si>
  <si>
    <t>ORD0925</t>
  </si>
  <si>
    <t>Lauren Wolf</t>
  </si>
  <si>
    <t>ORD0926</t>
  </si>
  <si>
    <t>Heather Nichols</t>
  </si>
  <si>
    <t>ORD0927</t>
  </si>
  <si>
    <t>Joshua Stanley</t>
  </si>
  <si>
    <t>ORD0928</t>
  </si>
  <si>
    <t>Kendra Williams</t>
  </si>
  <si>
    <t>ORD0929</t>
  </si>
  <si>
    <t>2025-04-26</t>
  </si>
  <si>
    <t>Mackenzie Contreras</t>
  </si>
  <si>
    <t>ORD0930</t>
  </si>
  <si>
    <t>Mark Gregory</t>
  </si>
  <si>
    <t>ORD0931</t>
  </si>
  <si>
    <t>Amanda Medina</t>
  </si>
  <si>
    <t>ORD0932</t>
  </si>
  <si>
    <t>Joshua Hood</t>
  </si>
  <si>
    <t>ORD0933</t>
  </si>
  <si>
    <t>David Harris Jr.</t>
  </si>
  <si>
    <t>ORD0934</t>
  </si>
  <si>
    <t>Alan Spencer</t>
  </si>
  <si>
    <t>ORD0935</t>
  </si>
  <si>
    <t>Patrick Knight</t>
  </si>
  <si>
    <t>ORD0936</t>
  </si>
  <si>
    <t>Dawn Cunningham</t>
  </si>
  <si>
    <t>ORD0937</t>
  </si>
  <si>
    <t>James Turner</t>
  </si>
  <si>
    <t>ORD0938</t>
  </si>
  <si>
    <t>Denise Bond</t>
  </si>
  <si>
    <t>ORD0939</t>
  </si>
  <si>
    <t>Lindsay Castillo</t>
  </si>
  <si>
    <t>ORD0940</t>
  </si>
  <si>
    <t>Scott Buchanan</t>
  </si>
  <si>
    <t>ORD0941</t>
  </si>
  <si>
    <t>Michelle Johnson</t>
  </si>
  <si>
    <t>ORD0942</t>
  </si>
  <si>
    <t>Brooke Hernandez</t>
  </si>
  <si>
    <t>ORD0943</t>
  </si>
  <si>
    <t>Jeffrey Jackson</t>
  </si>
  <si>
    <t>ORD0944</t>
  </si>
  <si>
    <t>Michael Landry</t>
  </si>
  <si>
    <t>ORD0945</t>
  </si>
  <si>
    <t>Mrs. Amanda Casey MD</t>
  </si>
  <si>
    <t>ORD0946</t>
  </si>
  <si>
    <t>Jasmine Lambert</t>
  </si>
  <si>
    <t>ORD0947</t>
  </si>
  <si>
    <t>Kayla Lee</t>
  </si>
  <si>
    <t>ORD0948</t>
  </si>
  <si>
    <t>Dylan Ford</t>
  </si>
  <si>
    <t>ORD0949</t>
  </si>
  <si>
    <t>Yolanda Williams</t>
  </si>
  <si>
    <t>ORD0950</t>
  </si>
  <si>
    <t>Jack Young</t>
  </si>
  <si>
    <t>ORD0951</t>
  </si>
  <si>
    <t>Roberto Church</t>
  </si>
  <si>
    <t>ORD0952</t>
  </si>
  <si>
    <t>Kristine Nguyen</t>
  </si>
  <si>
    <t>ORD0953</t>
  </si>
  <si>
    <t>Jennifer Key</t>
  </si>
  <si>
    <t>ORD0954</t>
  </si>
  <si>
    <t>Elizabeth Barnett</t>
  </si>
  <si>
    <t>ORD0955</t>
  </si>
  <si>
    <t>Jason Williams</t>
  </si>
  <si>
    <t>ORD0956</t>
  </si>
  <si>
    <t>Paul Cunningham</t>
  </si>
  <si>
    <t>ORD0957</t>
  </si>
  <si>
    <t>2025-07-02</t>
  </si>
  <si>
    <t>James Pham</t>
  </si>
  <si>
    <t>ORD0958</t>
  </si>
  <si>
    <t>Allison Chapman</t>
  </si>
  <si>
    <t>ORD0959</t>
  </si>
  <si>
    <t>Jennifer Woodard</t>
  </si>
  <si>
    <t>ORD0960</t>
  </si>
  <si>
    <t>Richard Oconnor</t>
  </si>
  <si>
    <t>ORD0961</t>
  </si>
  <si>
    <t>Angelica Warner</t>
  </si>
  <si>
    <t>ORD0962</t>
  </si>
  <si>
    <t>Mary Kline</t>
  </si>
  <si>
    <t>ORD0963</t>
  </si>
  <si>
    <t>Courtney Delgado</t>
  </si>
  <si>
    <t>ORD0964</t>
  </si>
  <si>
    <t>Nicholas Shepherd</t>
  </si>
  <si>
    <t>ORD0965</t>
  </si>
  <si>
    <t>Nicholas Ayala</t>
  </si>
  <si>
    <t>ORD0966</t>
  </si>
  <si>
    <t>James Marshall</t>
  </si>
  <si>
    <t>ORD0967</t>
  </si>
  <si>
    <t>Victoria Henderson</t>
  </si>
  <si>
    <t>ORD0968</t>
  </si>
  <si>
    <t>Gary Norman</t>
  </si>
  <si>
    <t>ORD0969</t>
  </si>
  <si>
    <t>2025-06-10</t>
  </si>
  <si>
    <t>Lauren Young</t>
  </si>
  <si>
    <t>ORD0970</t>
  </si>
  <si>
    <t>Christopher Cooper</t>
  </si>
  <si>
    <t>ORD0971</t>
  </si>
  <si>
    <t>Samantha Mays</t>
  </si>
  <si>
    <t>ORD0972</t>
  </si>
  <si>
    <t>James Barr</t>
  </si>
  <si>
    <t>ORD0973</t>
  </si>
  <si>
    <t>Leonard Murphy</t>
  </si>
  <si>
    <t>ORD0974</t>
  </si>
  <si>
    <t>Taylor Jones</t>
  </si>
  <si>
    <t>ORD0975</t>
  </si>
  <si>
    <t>Katrina Terry MD</t>
  </si>
  <si>
    <t>ORD0976</t>
  </si>
  <si>
    <t>Amy Morris</t>
  </si>
  <si>
    <t>ORD0977</t>
  </si>
  <si>
    <t>Kelsey Morgan</t>
  </si>
  <si>
    <t>ORD0978</t>
  </si>
  <si>
    <t>Susan Garza</t>
  </si>
  <si>
    <t>ORD0979</t>
  </si>
  <si>
    <t>Laura Allen</t>
  </si>
  <si>
    <t>ORD0980</t>
  </si>
  <si>
    <t>Jacob White</t>
  </si>
  <si>
    <t>ORD0981</t>
  </si>
  <si>
    <t>Rebecca Clarke</t>
  </si>
  <si>
    <t>ORD0982</t>
  </si>
  <si>
    <t>Ashley Coleman</t>
  </si>
  <si>
    <t>ORD0983</t>
  </si>
  <si>
    <t>Erika Brandt</t>
  </si>
  <si>
    <t>ORD0984</t>
  </si>
  <si>
    <t>Kristopher Rodriguez</t>
  </si>
  <si>
    <t>ORD0985</t>
  </si>
  <si>
    <t>Chloe Williams</t>
  </si>
  <si>
    <t>ORD0986</t>
  </si>
  <si>
    <t>Maria Nguyen</t>
  </si>
  <si>
    <t>ORD0987</t>
  </si>
  <si>
    <t>Gregory Nelson</t>
  </si>
  <si>
    <t>ORD0988</t>
  </si>
  <si>
    <t>Brandon King</t>
  </si>
  <si>
    <t>ORD0989</t>
  </si>
  <si>
    <t>Mr. Brett Thomas MD</t>
  </si>
  <si>
    <t>ORD0990</t>
  </si>
  <si>
    <t>Tammy Mcknight</t>
  </si>
  <si>
    <t>ORD0991</t>
  </si>
  <si>
    <t>Regina Mercado</t>
  </si>
  <si>
    <t>ORD0992</t>
  </si>
  <si>
    <t>Robert Dixon</t>
  </si>
  <si>
    <t>ORD0993</t>
  </si>
  <si>
    <t>Amber Pierce</t>
  </si>
  <si>
    <t>ORD0994</t>
  </si>
  <si>
    <t>Jason Greene</t>
  </si>
  <si>
    <t>ORD0995</t>
  </si>
  <si>
    <t>Carolyn Lynch</t>
  </si>
  <si>
    <t>ORD0996</t>
  </si>
  <si>
    <t>Olivia Ward</t>
  </si>
  <si>
    <t>ORD0997</t>
  </si>
  <si>
    <t>Eric Martinez</t>
  </si>
  <si>
    <t>ORD0998</t>
  </si>
  <si>
    <t>Deborah Schwartz</t>
  </si>
  <si>
    <t>ORD0999</t>
  </si>
  <si>
    <t>Michael Kim</t>
  </si>
  <si>
    <t>ORD1000</t>
  </si>
  <si>
    <t>Kristen Jones</t>
  </si>
  <si>
    <t xml:space="preserve">month </t>
  </si>
  <si>
    <t>year</t>
  </si>
  <si>
    <t>Row Labels</t>
  </si>
  <si>
    <t>Grand Total</t>
  </si>
  <si>
    <t>Sum of Sales</t>
  </si>
  <si>
    <t>Total Sales</t>
  </si>
  <si>
    <t>Total Profit</t>
  </si>
  <si>
    <t xml:space="preserve">TOTAL PROFIT </t>
  </si>
  <si>
    <t>Total Orders</t>
  </si>
  <si>
    <t>Total Quantity</t>
  </si>
  <si>
    <t xml:space="preserve">Retail Sales Dashboard </t>
  </si>
  <si>
    <t>Jan</t>
  </si>
  <si>
    <t>Feb</t>
  </si>
  <si>
    <t>Mar</t>
  </si>
  <si>
    <t>Apr</t>
  </si>
  <si>
    <t>May</t>
  </si>
  <si>
    <t>Jun</t>
  </si>
  <si>
    <t>Jul</t>
  </si>
  <si>
    <t>Aug</t>
  </si>
  <si>
    <t>Sep</t>
  </si>
  <si>
    <t>Oct</t>
  </si>
  <si>
    <t>Nov</t>
  </si>
  <si>
    <t>Dec</t>
  </si>
  <si>
    <t>Conclusion</t>
  </si>
  <si>
    <r>
      <rPr>
        <b/>
        <i/>
        <sz val="18"/>
        <color theme="1"/>
        <rFont val="Garamond"/>
        <family val="2"/>
        <scheme val="minor"/>
      </rPr>
      <t xml:space="preserve">1) The Analysis indicate that </t>
    </r>
    <r>
      <rPr>
        <b/>
        <i/>
        <sz val="18"/>
        <color rgb="FFFF0000"/>
        <rFont val="Garamond"/>
        <family val="2"/>
        <scheme val="minor"/>
      </rPr>
      <t xml:space="preserve">FURNITURE </t>
    </r>
    <r>
      <rPr>
        <b/>
        <i/>
        <sz val="18"/>
        <rFont val="Garamond"/>
        <family val="2"/>
        <scheme val="minor"/>
      </rPr>
      <t>is the strongest revenue-generating.</t>
    </r>
  </si>
  <si>
    <r>
      <t xml:space="preserve">2) </t>
    </r>
    <r>
      <rPr>
        <b/>
        <i/>
        <sz val="18"/>
        <color rgb="FF7030A0"/>
        <rFont val="Garamond"/>
        <family val="2"/>
        <scheme val="minor"/>
      </rPr>
      <t>Banglore is the top-performing city</t>
    </r>
  </si>
  <si>
    <r>
      <t xml:space="preserve">3) Overall sales performance is strong, </t>
    </r>
    <r>
      <rPr>
        <b/>
        <i/>
        <sz val="16"/>
        <color rgb="FFFF0000"/>
        <rFont val="Garamond"/>
        <family val="2"/>
        <scheme val="minor"/>
      </rPr>
      <t xml:space="preserve">Negative-Profit </t>
    </r>
    <r>
      <rPr>
        <b/>
        <i/>
        <sz val="16"/>
        <color theme="1"/>
        <rFont val="Garamond"/>
        <family val="2"/>
        <scheme val="minor"/>
      </rPr>
      <t>transaction rquire further investigation to improve profitability</t>
    </r>
    <r>
      <rPr>
        <b/>
        <i/>
        <sz val="16"/>
        <color rgb="FFFF0000"/>
        <rFont val="Garamond"/>
        <family val="2"/>
        <scheme val="minor"/>
      </rPr>
      <t xml:space="preserve"> </t>
    </r>
  </si>
  <si>
    <t xml:space="preserve">                                                                                                                                                                                                                                                                                                                                               </t>
  </si>
  <si>
    <t xml:space="preserve">                                                                                                                          </t>
  </si>
  <si>
    <t xml:space="preserve">                                                                                                                                                           </t>
  </si>
  <si>
    <t>Insight</t>
  </si>
  <si>
    <t>"Furniture Sales are high.Check inventory."</t>
  </si>
  <si>
    <t>"Clothing Sales are high.Check inventory."</t>
  </si>
  <si>
    <t>Electronics Sales are high.Check inventory.</t>
  </si>
  <si>
    <t>Office Supplies Sales are high.Check inventory.</t>
  </si>
  <si>
    <t>Retail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</si>
</sst>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 #,##0.00"/>
  </numFmts>
  <fonts count="19" x14ac:knownFonts="1">
    <font>
      <sz val="11"/>
      <color theme="1"/>
      <name val="Garamond"/>
      <family val="2"/>
      <scheme val="minor"/>
    </font>
    <font>
      <b/>
      <sz val="11"/>
      <name val="Calibri"/>
    </font>
    <font>
      <b/>
      <sz val="11"/>
      <color theme="1"/>
      <name val="Garamond"/>
      <family val="2"/>
      <scheme val="minor"/>
    </font>
    <font>
      <b/>
      <i/>
      <sz val="16"/>
      <color theme="1"/>
      <name val="Garamond"/>
      <family val="2"/>
      <scheme val="minor"/>
    </font>
    <font>
      <sz val="18"/>
      <color theme="1"/>
      <name val="Garamond"/>
      <family val="2"/>
      <scheme val="minor"/>
    </font>
    <font>
      <b/>
      <i/>
      <sz val="18"/>
      <color theme="1"/>
      <name val="Garamond"/>
      <family val="2"/>
      <scheme val="minor"/>
    </font>
    <font>
      <b/>
      <i/>
      <sz val="18"/>
      <color theme="0"/>
      <name val="Garamond"/>
      <family val="2"/>
      <scheme val="minor"/>
    </font>
    <font>
      <b/>
      <i/>
      <sz val="14"/>
      <color theme="1"/>
      <name val="Garamond"/>
      <family val="2"/>
      <scheme val="minor"/>
    </font>
    <font>
      <b/>
      <i/>
      <sz val="18"/>
      <name val="Garamond"/>
      <family val="2"/>
      <scheme val="minor"/>
    </font>
    <font>
      <b/>
      <i/>
      <sz val="18"/>
      <color rgb="FFFF0000"/>
      <name val="Garamond"/>
      <family val="2"/>
      <scheme val="minor"/>
    </font>
    <font>
      <b/>
      <i/>
      <sz val="18"/>
      <color rgb="FF7030A0"/>
      <name val="Garamond"/>
      <family val="2"/>
      <scheme val="minor"/>
    </font>
    <font>
      <b/>
      <i/>
      <sz val="16"/>
      <color rgb="FFFF0000"/>
      <name val="Garamond"/>
      <family val="2"/>
      <scheme val="minor"/>
    </font>
    <font>
      <b/>
      <i/>
      <sz val="14"/>
      <name val="Garamond"/>
      <family val="2"/>
      <scheme val="minor"/>
    </font>
    <font>
      <b/>
      <i/>
      <sz val="18"/>
      <name val="Garamond"/>
      <family val="1"/>
      <scheme val="minor"/>
    </font>
    <font>
      <b/>
      <i/>
      <sz val="20"/>
      <name val="Garamond"/>
      <family val="1"/>
      <scheme val="minor"/>
    </font>
    <font>
      <sz val="20"/>
      <color theme="1"/>
      <name val="Garamond"/>
      <family val="2"/>
      <scheme val="minor"/>
    </font>
    <font>
      <sz val="11"/>
      <color rgb="FF002060"/>
      <name val="Garamond"/>
      <family val="2"/>
      <scheme val="minor"/>
    </font>
    <font>
      <b/>
      <sz val="22"/>
      <color theme="0"/>
      <name val="Garamond"/>
      <family val="1"/>
      <scheme val="minor"/>
    </font>
    <font>
      <b/>
      <i/>
      <sz val="28"/>
      <color theme="0"/>
      <name val="Garamond"/>
      <family val="1"/>
      <scheme val="minor"/>
    </font>
  </fonts>
  <fills count="9">
    <fill>
      <patternFill patternType="none"/>
    </fill>
    <fill>
      <patternFill patternType="gray125"/>
    </fill>
    <fill>
      <patternFill patternType="solid">
        <fgColor theme="9" tint="0.79998168889431442"/>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rgb="FF0070C0"/>
        <bgColor indexed="64"/>
      </patternFill>
    </fill>
    <fill>
      <patternFill patternType="solid">
        <fgColor rgb="FF002060"/>
        <bgColor indexed="64"/>
      </patternFill>
    </fill>
    <fill>
      <patternFill patternType="solid">
        <fgColor theme="2"/>
        <bgColor indexed="64"/>
      </patternFill>
    </fill>
    <fill>
      <patternFill patternType="solid">
        <fgColor theme="8"/>
        <bgColor indexed="64"/>
      </patternFill>
    </fill>
  </fills>
  <borders count="1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auto="1"/>
      </left>
      <right style="thin">
        <color auto="1"/>
      </right>
      <top/>
      <bottom/>
      <diagonal/>
    </border>
  </borders>
  <cellStyleXfs count="1">
    <xf numFmtId="0" fontId="0" fillId="0" borderId="0"/>
  </cellStyleXfs>
  <cellXfs count="57">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1" fillId="0" borderId="1" xfId="0" applyNumberFormat="1" applyFont="1" applyBorder="1" applyAlignment="1">
      <alignment horizontal="center" vertical="top"/>
    </xf>
    <xf numFmtId="14" fontId="0" fillId="0" borderId="0" xfId="0" applyNumberFormat="1" applyAlignment="1">
      <alignment horizontal="center"/>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14" xfId="0" applyFont="1" applyFill="1" applyBorder="1" applyAlignment="1">
      <alignment horizontal="center" vertical="top"/>
    </xf>
    <xf numFmtId="0" fontId="1" fillId="0" borderId="0" xfId="0" applyFont="1" applyBorder="1" applyAlignment="1">
      <alignment horizontal="center" vertical="top"/>
    </xf>
    <xf numFmtId="0" fontId="0" fillId="7" borderId="0" xfId="0" applyFill="1"/>
    <xf numFmtId="0" fontId="15" fillId="7" borderId="0" xfId="0" applyFont="1" applyFill="1"/>
    <xf numFmtId="0" fontId="14" fillId="5" borderId="2" xfId="0" applyFont="1" applyFill="1" applyBorder="1" applyAlignment="1">
      <alignment horizontal="center" vertical="center"/>
    </xf>
    <xf numFmtId="0" fontId="13" fillId="5" borderId="2" xfId="0" applyFont="1" applyFill="1" applyBorder="1"/>
    <xf numFmtId="164" fontId="2" fillId="8" borderId="2" xfId="0" applyNumberFormat="1" applyFont="1" applyFill="1" applyBorder="1" applyAlignment="1">
      <alignment horizontal="center" vertical="center"/>
    </xf>
    <xf numFmtId="164" fontId="7" fillId="8" borderId="2" xfId="0" applyNumberFormat="1" applyFont="1" applyFill="1" applyBorder="1" applyAlignment="1">
      <alignment horizontal="center" vertical="center"/>
    </xf>
    <xf numFmtId="0" fontId="12" fillId="8" borderId="2" xfId="0" applyFont="1" applyFill="1" applyBorder="1" applyAlignment="1">
      <alignment horizontal="center" vertical="center"/>
    </xf>
    <xf numFmtId="0" fontId="0" fillId="8" borderId="2" xfId="0" applyFill="1" applyBorder="1" applyAlignment="1">
      <alignment horizontal="center" vertical="center"/>
    </xf>
    <xf numFmtId="0" fontId="18" fillId="6" borderId="3" xfId="0" applyFont="1" applyFill="1" applyBorder="1" applyAlignment="1">
      <alignment horizontal="center" vertical="center"/>
    </xf>
    <xf numFmtId="0" fontId="16" fillId="6" borderId="4" xfId="0" applyFont="1" applyFill="1" applyBorder="1" applyAlignment="1">
      <alignment horizontal="center" vertical="center"/>
    </xf>
    <xf numFmtId="0" fontId="16" fillId="6" borderId="5"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11" xfId="0" applyFont="1" applyFill="1" applyBorder="1" applyAlignment="1">
      <alignment horizontal="center" vertical="center"/>
    </xf>
    <xf numFmtId="0" fontId="5"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0"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0" xfId="0" applyFont="1" applyFill="1" applyBorder="1" applyAlignment="1">
      <alignment horizontal="center" vertical="center"/>
    </xf>
    <xf numFmtId="0" fontId="5" fillId="3" borderId="13"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xf numFmtId="0" fontId="5" fillId="3" borderId="11" xfId="0" applyFont="1" applyFill="1" applyBorder="1" applyAlignment="1">
      <alignment horizontal="center" vertical="center"/>
    </xf>
    <xf numFmtId="0" fontId="3" fillId="4" borderId="6" xfId="0" applyFont="1" applyFill="1" applyBorder="1" applyAlignment="1">
      <alignment horizontal="center" vertical="top" wrapText="1"/>
    </xf>
    <xf numFmtId="0" fontId="3" fillId="4" borderId="7" xfId="0" applyFont="1" applyFill="1" applyBorder="1" applyAlignment="1">
      <alignment horizontal="center" vertical="top" wrapText="1"/>
    </xf>
    <xf numFmtId="0" fontId="3" fillId="4" borderId="8" xfId="0" applyFont="1" applyFill="1" applyBorder="1" applyAlignment="1">
      <alignment horizontal="center" vertical="top" wrapText="1"/>
    </xf>
    <xf numFmtId="0" fontId="3" fillId="4" borderId="12" xfId="0" applyFont="1" applyFill="1" applyBorder="1" applyAlignment="1">
      <alignment horizontal="center" vertical="top" wrapText="1"/>
    </xf>
    <xf numFmtId="0" fontId="3" fillId="4" borderId="0" xfId="0" applyFont="1" applyFill="1" applyBorder="1" applyAlignment="1">
      <alignment horizontal="center" vertical="top" wrapText="1"/>
    </xf>
    <xf numFmtId="0" fontId="3" fillId="4" borderId="13" xfId="0" applyFont="1" applyFill="1" applyBorder="1" applyAlignment="1">
      <alignment horizontal="center" vertical="top" wrapText="1"/>
    </xf>
    <xf numFmtId="0" fontId="3" fillId="4" borderId="9" xfId="0" applyFont="1" applyFill="1" applyBorder="1" applyAlignment="1">
      <alignment horizontal="center" vertical="top" wrapText="1"/>
    </xf>
    <xf numFmtId="0" fontId="3" fillId="4" borderId="10" xfId="0" applyFont="1" applyFill="1" applyBorder="1" applyAlignment="1">
      <alignment horizontal="center" vertical="top" wrapText="1"/>
    </xf>
    <xf numFmtId="0" fontId="3" fillId="4" borderId="11" xfId="0" applyFont="1" applyFill="1" applyBorder="1" applyAlignment="1">
      <alignment horizontal="center" vertical="top" wrapText="1"/>
    </xf>
    <xf numFmtId="0" fontId="17" fillId="6" borderId="0" xfId="0" applyFont="1" applyFill="1" applyAlignment="1">
      <alignment horizontal="center" vertical="center" wrapText="1"/>
    </xf>
    <xf numFmtId="0" fontId="0" fillId="6" borderId="0" xfId="0" applyFill="1" applyAlignment="1">
      <alignment horizontal="center" vertical="center" wrapText="1"/>
    </xf>
  </cellXfs>
  <cellStyles count="1">
    <cellStyle name="Normal" xfId="0" builtinId="0"/>
  </cellStyles>
  <dxfs count="0"/>
  <tableStyles count="0" defaultTableStyle="TableStyleMedium9" defaultPivotStyle="PivotStyleLight16"/>
  <colors>
    <mruColors>
      <color rgb="FFA50021"/>
      <color rgb="FFFF7C80"/>
      <color rgb="FF99FFCC"/>
      <color rgb="FF65D7DD"/>
      <color rgb="FFCC66FF"/>
      <color rgb="FF99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[Retail_Sales_Excel_Project.xlsx]CITY_WISE_SALE!PivotTable2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City-wise_Sales</a:t>
            </a:r>
          </a:p>
          <a:p>
            <a:pPr>
              <a:defRPr/>
            </a:pPr>
            <a:endParaRPr lang="en-IN" b="1" i="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CITY_WISE_SALE!$B$3</c:f>
              <c:strCache>
                <c:ptCount val="1"/>
                <c:pt idx="0">
                  <c:v>Total</c:v>
                </c:pt>
              </c:strCache>
            </c:strRef>
          </c:tx>
          <c:spPr>
            <a:solidFill>
              <a:schemeClr val="accent1"/>
            </a:solidFill>
            <a:ln>
              <a:noFill/>
            </a:ln>
            <a:effectLst/>
          </c:spPr>
          <c:invertIfNegative val="0"/>
          <c:cat>
            <c:strRef>
              <c:f>CITY_WISE_SALE!$A$4:$A$11</c:f>
              <c:strCache>
                <c:ptCount val="7"/>
                <c:pt idx="0">
                  <c:v>Bangalore</c:v>
                </c:pt>
                <c:pt idx="1">
                  <c:v>Delhi</c:v>
                </c:pt>
                <c:pt idx="2">
                  <c:v>Hyderabad</c:v>
                </c:pt>
                <c:pt idx="3">
                  <c:v>Lucknow</c:v>
                </c:pt>
                <c:pt idx="4">
                  <c:v>Mumbai</c:v>
                </c:pt>
                <c:pt idx="5">
                  <c:v>Pune</c:v>
                </c:pt>
                <c:pt idx="6">
                  <c:v>Varanasi</c:v>
                </c:pt>
              </c:strCache>
            </c:strRef>
          </c:cat>
          <c:val>
            <c:numRef>
              <c:f>CITY_WISE_SALE!$B$4:$B$11</c:f>
              <c:numCache>
                <c:formatCode>General</c:formatCode>
                <c:ptCount val="7"/>
                <c:pt idx="0">
                  <c:v>1112037.1499999999</c:v>
                </c:pt>
                <c:pt idx="1">
                  <c:v>1149655.6300000001</c:v>
                </c:pt>
                <c:pt idx="2">
                  <c:v>941311.71</c:v>
                </c:pt>
                <c:pt idx="3">
                  <c:v>1117182.69</c:v>
                </c:pt>
                <c:pt idx="4">
                  <c:v>707070.64999999991</c:v>
                </c:pt>
                <c:pt idx="5">
                  <c:v>1088478.18</c:v>
                </c:pt>
                <c:pt idx="6">
                  <c:v>940406.26</c:v>
                </c:pt>
              </c:numCache>
            </c:numRef>
          </c:val>
          <c:extLst>
            <c:ext xmlns:c16="http://schemas.microsoft.com/office/drawing/2014/chart" uri="{C3380CC4-5D6E-409C-BE32-E72D297353CC}">
              <c16:uniqueId val="{00000000-7D3A-42E9-A0DE-9F3014C838AE}"/>
            </c:ext>
          </c:extLst>
        </c:ser>
        <c:dLbls>
          <c:showLegendKey val="0"/>
          <c:showVal val="0"/>
          <c:showCatName val="0"/>
          <c:showSerName val="0"/>
          <c:showPercent val="0"/>
          <c:showBubbleSize val="0"/>
        </c:dLbls>
        <c:gapWidth val="182"/>
        <c:axId val="902420528"/>
        <c:axId val="902418032"/>
      </c:barChart>
      <c:catAx>
        <c:axId val="90242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418032"/>
        <c:crosses val="autoZero"/>
        <c:auto val="1"/>
        <c:lblAlgn val="ctr"/>
        <c:lblOffset val="100"/>
        <c:noMultiLvlLbl val="0"/>
      </c:catAx>
      <c:valAx>
        <c:axId val="90241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4205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a:solidFill>
                  <a:sysClr val="windowText" lastClr="000000"/>
                </a:solidFill>
              </a:rPr>
              <a:t>CATEGORY</a:t>
            </a:r>
            <a:r>
              <a:rPr lang="en-US" sz="1600" b="1" i="1" baseline="0">
                <a:solidFill>
                  <a:sysClr val="windowText" lastClr="000000"/>
                </a:solidFill>
              </a:rPr>
              <a:t> WISE SALES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manualLayout>
          <c:layoutTarget val="inner"/>
          <c:xMode val="edge"/>
          <c:yMode val="edge"/>
          <c:x val="0.14005017598067787"/>
          <c:y val="0.21645387169881655"/>
          <c:w val="0.75543109668500508"/>
          <c:h val="0.67673615769437767"/>
        </c:manualLayout>
      </c:layout>
      <c:barChart>
        <c:barDir val="col"/>
        <c:grouping val="clustered"/>
        <c:varyColors val="0"/>
        <c:ser>
          <c:idx val="0"/>
          <c:order val="0"/>
          <c:tx>
            <c:v>Total</c:v>
          </c:tx>
          <c:spPr>
            <a:solidFill>
              <a:schemeClr val="accent1"/>
            </a:solidFill>
            <a:ln>
              <a:noFill/>
            </a:ln>
            <a:effectLst/>
          </c:spPr>
          <c:invertIfNegative val="0"/>
          <c:cat>
            <c:strLit>
              <c:ptCount val="2"/>
              <c:pt idx="0">
                <c:v>Furniture</c:v>
              </c:pt>
              <c:pt idx="1">
                <c:v>Office Supplies</c:v>
              </c:pt>
            </c:strLit>
          </c:cat>
          <c:val>
            <c:numLit>
              <c:formatCode>General</c:formatCode>
              <c:ptCount val="2"/>
              <c:pt idx="0">
                <c:v>7056142.2700000042</c:v>
              </c:pt>
              <c:pt idx="1">
                <c:v>5553776.0599999959</c:v>
              </c:pt>
            </c:numLit>
          </c:val>
          <c:extLst>
            <c:ext xmlns:c16="http://schemas.microsoft.com/office/drawing/2014/chart" uri="{C3380CC4-5D6E-409C-BE32-E72D297353CC}">
              <c16:uniqueId val="{00000000-A403-4AD6-90E1-75D93359CEA5}"/>
            </c:ext>
          </c:extLst>
        </c:ser>
        <c:dLbls>
          <c:showLegendKey val="0"/>
          <c:showVal val="0"/>
          <c:showCatName val="0"/>
          <c:showSerName val="0"/>
          <c:showPercent val="0"/>
          <c:showBubbleSize val="0"/>
        </c:dLbls>
        <c:gapWidth val="219"/>
        <c:overlap val="-27"/>
        <c:axId val="873584128"/>
        <c:axId val="873582048"/>
      </c:barChart>
      <c:catAx>
        <c:axId val="87358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ysClr val="windowText" lastClr="000000"/>
                </a:solidFill>
                <a:latin typeface="+mj-lt"/>
                <a:ea typeface="+mn-ea"/>
                <a:cs typeface="+mn-cs"/>
              </a:defRPr>
            </a:pPr>
            <a:endParaRPr lang="en-US"/>
          </a:p>
        </c:txPr>
        <c:crossAx val="873582048"/>
        <c:crosses val="autoZero"/>
        <c:auto val="1"/>
        <c:lblAlgn val="ctr"/>
        <c:lblOffset val="100"/>
        <c:noMultiLvlLbl val="0"/>
      </c:catAx>
      <c:valAx>
        <c:axId val="873582048"/>
        <c:scaling>
          <c:orientation val="minMax"/>
        </c:scaling>
        <c:delete val="0"/>
        <c:axPos val="l"/>
        <c:majorGridlines>
          <c:spPr>
            <a:ln w="9525" cap="flat" cmpd="sng" algn="ctr">
              <a:solidFill>
                <a:schemeClr val="accent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873584128"/>
        <c:crosses val="autoZero"/>
        <c:crossBetween val="between"/>
      </c:valAx>
      <c:spPr>
        <a:solidFill>
          <a:schemeClr val="tx1">
            <a:lumMod val="50000"/>
            <a:lumOff val="50000"/>
          </a:schemeClr>
        </a:solidFill>
        <a:ln>
          <a:solidFill>
            <a:schemeClr val="tx1">
              <a:lumMod val="50000"/>
              <a:lumOff val="50000"/>
            </a:schemeClr>
          </a:solid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glow rad="228600">
        <a:schemeClr val="accent5">
          <a:satMod val="175000"/>
          <a:alpha val="40000"/>
        </a:schemeClr>
      </a:glow>
      <a:outerShdw blurRad="50800" dist="38100" dir="13500000" algn="br" rotWithShape="0">
        <a:prstClr val="black">
          <a:alpha val="40000"/>
        </a:prstClr>
      </a:outerShdw>
      <a:softEdge rad="38100"/>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[Retail_Sales_Excel_Project.xlsx]CITY_WISE_SALE!PivotTable2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1">
                <a:solidFill>
                  <a:sysClr val="windowText" lastClr="000000"/>
                </a:solidFill>
              </a:rPr>
              <a:t>CITY-WISE SALES</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CITY_WISE_SALE!$B$3</c:f>
              <c:strCache>
                <c:ptCount val="1"/>
                <c:pt idx="0">
                  <c:v>Total</c:v>
                </c:pt>
              </c:strCache>
            </c:strRef>
          </c:tx>
          <c:spPr>
            <a:solidFill>
              <a:schemeClr val="accent1"/>
            </a:solidFill>
            <a:ln>
              <a:noFill/>
            </a:ln>
            <a:effectLst/>
          </c:spPr>
          <c:invertIfNegative val="0"/>
          <c:cat>
            <c:strRef>
              <c:f>CITY_WISE_SALE!$A$4:$A$11</c:f>
              <c:strCache>
                <c:ptCount val="7"/>
                <c:pt idx="0">
                  <c:v>Bangalore</c:v>
                </c:pt>
                <c:pt idx="1">
                  <c:v>Delhi</c:v>
                </c:pt>
                <c:pt idx="2">
                  <c:v>Hyderabad</c:v>
                </c:pt>
                <c:pt idx="3">
                  <c:v>Lucknow</c:v>
                </c:pt>
                <c:pt idx="4">
                  <c:v>Mumbai</c:v>
                </c:pt>
                <c:pt idx="5">
                  <c:v>Pune</c:v>
                </c:pt>
                <c:pt idx="6">
                  <c:v>Varanasi</c:v>
                </c:pt>
              </c:strCache>
            </c:strRef>
          </c:cat>
          <c:val>
            <c:numRef>
              <c:f>CITY_WISE_SALE!$B$4:$B$11</c:f>
              <c:numCache>
                <c:formatCode>General</c:formatCode>
                <c:ptCount val="7"/>
                <c:pt idx="0">
                  <c:v>1112037.1499999999</c:v>
                </c:pt>
                <c:pt idx="1">
                  <c:v>1149655.6300000001</c:v>
                </c:pt>
                <c:pt idx="2">
                  <c:v>941311.71</c:v>
                </c:pt>
                <c:pt idx="3">
                  <c:v>1117182.69</c:v>
                </c:pt>
                <c:pt idx="4">
                  <c:v>707070.64999999991</c:v>
                </c:pt>
                <c:pt idx="5">
                  <c:v>1088478.18</c:v>
                </c:pt>
                <c:pt idx="6">
                  <c:v>940406.26</c:v>
                </c:pt>
              </c:numCache>
            </c:numRef>
          </c:val>
          <c:extLst>
            <c:ext xmlns:c16="http://schemas.microsoft.com/office/drawing/2014/chart" uri="{C3380CC4-5D6E-409C-BE32-E72D297353CC}">
              <c16:uniqueId val="{00000003-6E3C-467A-B822-B753BC129794}"/>
            </c:ext>
          </c:extLst>
        </c:ser>
        <c:dLbls>
          <c:showLegendKey val="0"/>
          <c:showVal val="0"/>
          <c:showCatName val="0"/>
          <c:showSerName val="0"/>
          <c:showPercent val="0"/>
          <c:showBubbleSize val="0"/>
        </c:dLbls>
        <c:gapWidth val="182"/>
        <c:axId val="902420528"/>
        <c:axId val="902418032"/>
      </c:barChart>
      <c:catAx>
        <c:axId val="902420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902418032"/>
        <c:crosses val="autoZero"/>
        <c:auto val="1"/>
        <c:lblAlgn val="ctr"/>
        <c:lblOffset val="100"/>
        <c:noMultiLvlLbl val="0"/>
      </c:catAx>
      <c:valAx>
        <c:axId val="902418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902420528"/>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effectLst>
      <a:glow rad="101600">
        <a:schemeClr val="accent3">
          <a:satMod val="175000"/>
          <a:alpha val="40000"/>
        </a:schemeClr>
      </a:glow>
      <a:innerShdw blurRad="63500" dist="50800" dir="2700000">
        <a:prstClr val="black">
          <a:alpha val="50000"/>
        </a:prstClr>
      </a:inn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[Retail_Sales_Excel_Project.xlsx]MONTHLY_SALES!PivotTable3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rich>
      </c:tx>
      <c:layout/>
      <c:overlay val="0"/>
      <c:spPr>
        <a:solidFill>
          <a:schemeClr val="accent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597987</c:v>
                </c:pt>
                <c:pt idx="1">
                  <c:v>687531.26000000013</c:v>
                </c:pt>
                <c:pt idx="2">
                  <c:v>627197.15</c:v>
                </c:pt>
                <c:pt idx="3">
                  <c:v>603624.99999999988</c:v>
                </c:pt>
                <c:pt idx="4">
                  <c:v>457890.61</c:v>
                </c:pt>
                <c:pt idx="5">
                  <c:v>667167.92000000004</c:v>
                </c:pt>
                <c:pt idx="6">
                  <c:v>515862.56999999995</c:v>
                </c:pt>
                <c:pt idx="7">
                  <c:v>399341.87</c:v>
                </c:pt>
                <c:pt idx="8">
                  <c:v>706249</c:v>
                </c:pt>
                <c:pt idx="9">
                  <c:v>482422.42999999993</c:v>
                </c:pt>
                <c:pt idx="10">
                  <c:v>564393.93999999994</c:v>
                </c:pt>
                <c:pt idx="11">
                  <c:v>746473.52000000014</c:v>
                </c:pt>
              </c:numCache>
            </c:numRef>
          </c:val>
          <c:smooth val="0"/>
          <c:extLst>
            <c:ext xmlns:c16="http://schemas.microsoft.com/office/drawing/2014/chart" uri="{C3380CC4-5D6E-409C-BE32-E72D297353CC}">
              <c16:uniqueId val="{00000000-F8A7-49D8-A584-6FD8A4581F36}"/>
            </c:ext>
          </c:extLst>
        </c:ser>
        <c:dLbls>
          <c:showLegendKey val="0"/>
          <c:showVal val="0"/>
          <c:showCatName val="0"/>
          <c:showSerName val="0"/>
          <c:showPercent val="0"/>
          <c:showBubbleSize val="0"/>
        </c:dLbls>
        <c:smooth val="0"/>
        <c:axId val="908409600"/>
        <c:axId val="908412512"/>
      </c:lineChart>
      <c:catAx>
        <c:axId val="9084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908412512"/>
        <c:crosses val="autoZero"/>
        <c:auto val="1"/>
        <c:lblAlgn val="ctr"/>
        <c:lblOffset val="100"/>
        <c:noMultiLvlLbl val="0"/>
      </c:catAx>
      <c:valAx>
        <c:axId val="90841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908409600"/>
        <c:crosses val="autoZero"/>
        <c:crossBetween val="between"/>
      </c:valAx>
      <c:spPr>
        <a:noFill/>
        <a:ln w="25400">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glow rad="228600">
        <a:schemeClr val="accent5">
          <a:satMod val="175000"/>
          <a:alpha val="40000"/>
        </a:schemeClr>
      </a:glow>
      <a:outerShdw blurRad="50800" dist="38100" dir="8100000" sx="103000" sy="103000" algn="tr" rotWithShape="0">
        <a:prstClr val="black">
          <a:alpha val="34000"/>
        </a:prst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[Retail_Sales_Excel_Project.xlsx]MONTHLY_SALES!PivotTable3</c:name>
    <c:fmtId val="8"/>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manualLayout>
          <c:layoutTarget val="inner"/>
          <c:xMode val="edge"/>
          <c:yMode val="edge"/>
          <c:x val="0.13006984847821915"/>
          <c:y val="0.16083355034973693"/>
          <c:w val="0.70403466493773836"/>
          <c:h val="0.69714197019993762"/>
        </c:manualLayout>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597987</c:v>
                </c:pt>
                <c:pt idx="1">
                  <c:v>687531.26000000013</c:v>
                </c:pt>
                <c:pt idx="2">
                  <c:v>627197.15</c:v>
                </c:pt>
                <c:pt idx="3">
                  <c:v>603624.99999999988</c:v>
                </c:pt>
                <c:pt idx="4">
                  <c:v>457890.61</c:v>
                </c:pt>
                <c:pt idx="5">
                  <c:v>667167.92000000004</c:v>
                </c:pt>
                <c:pt idx="6">
                  <c:v>515862.56999999995</c:v>
                </c:pt>
                <c:pt idx="7">
                  <c:v>399341.87</c:v>
                </c:pt>
                <c:pt idx="8">
                  <c:v>706249</c:v>
                </c:pt>
                <c:pt idx="9">
                  <c:v>482422.42999999993</c:v>
                </c:pt>
                <c:pt idx="10">
                  <c:v>564393.93999999994</c:v>
                </c:pt>
                <c:pt idx="11">
                  <c:v>746473.52000000014</c:v>
                </c:pt>
              </c:numCache>
            </c:numRef>
          </c:val>
          <c:smooth val="0"/>
          <c:extLst>
            <c:ext xmlns:c16="http://schemas.microsoft.com/office/drawing/2014/chart" uri="{C3380CC4-5D6E-409C-BE32-E72D297353CC}">
              <c16:uniqueId val="{00000000-5DE4-4589-9353-8F77CA7E0DDD}"/>
            </c:ext>
          </c:extLst>
        </c:ser>
        <c:dLbls>
          <c:showLegendKey val="0"/>
          <c:showVal val="0"/>
          <c:showCatName val="0"/>
          <c:showSerName val="0"/>
          <c:showPercent val="0"/>
          <c:showBubbleSize val="0"/>
        </c:dLbls>
        <c:smooth val="0"/>
        <c:axId val="908409600"/>
        <c:axId val="908412512"/>
      </c:lineChart>
      <c:catAx>
        <c:axId val="9084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1" u="none" strike="noStrike" kern="1200" baseline="0">
                <a:solidFill>
                  <a:sysClr val="windowText" lastClr="000000"/>
                </a:solidFill>
                <a:latin typeface="+mj-lt"/>
                <a:ea typeface="+mn-ea"/>
                <a:cs typeface="+mn-cs"/>
              </a:defRPr>
            </a:pPr>
            <a:endParaRPr lang="en-US"/>
          </a:p>
        </c:txPr>
        <c:crossAx val="908412512"/>
        <c:crosses val="autoZero"/>
        <c:auto val="1"/>
        <c:lblAlgn val="ctr"/>
        <c:lblOffset val="100"/>
        <c:noMultiLvlLbl val="0"/>
      </c:catAx>
      <c:valAx>
        <c:axId val="90841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1" u="none" strike="noStrike" kern="1200" baseline="0">
                <a:solidFill>
                  <a:sysClr val="windowText" lastClr="000000"/>
                </a:solidFill>
                <a:latin typeface="+mj-lt"/>
                <a:ea typeface="+mn-ea"/>
                <a:cs typeface="+mn-cs"/>
              </a:defRPr>
            </a:pPr>
            <a:endParaRPr lang="en-US"/>
          </a:p>
        </c:txPr>
        <c:crossAx val="908409600"/>
        <c:crosses val="autoZero"/>
        <c:crossBetween val="between"/>
      </c:valAx>
      <c:spPr>
        <a:solidFill>
          <a:schemeClr val="tx2"/>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a:glow rad="101600">
        <a:schemeClr val="accent3">
          <a:satMod val="175000"/>
          <a:alpha val="40000"/>
        </a:schemeClr>
      </a:glow>
      <a:outerShdw blurRad="50800" dist="38100" dir="16200000" rotWithShape="0">
        <a:prstClr val="black">
          <a:alpha val="40000"/>
        </a:prstClr>
      </a:outerShdw>
      <a:softEdge rad="2540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[Retail_Sales_Excel_Project.xlsx]CATEGORY_WISE_SALE!PivotTable1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1">
                <a:solidFill>
                  <a:schemeClr val="tx1"/>
                </a:solidFill>
              </a:rPr>
              <a:t>Category_wise_Sale</a:t>
            </a:r>
            <a:r>
              <a:rPr lang="en-IN" sz="1800" b="1" i="1"/>
              <a:t>s</a:t>
            </a:r>
          </a:p>
        </c:rich>
      </c:tx>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CATEGORY_WISE_SALE!$B$3</c:f>
              <c:strCache>
                <c:ptCount val="1"/>
                <c:pt idx="0">
                  <c:v>Total</c:v>
                </c:pt>
              </c:strCache>
            </c:strRef>
          </c:tx>
          <c:spPr>
            <a:solidFill>
              <a:schemeClr val="accent1"/>
            </a:solidFill>
            <a:ln>
              <a:noFill/>
            </a:ln>
            <a:effectLst/>
          </c:spPr>
          <c:invertIfNegative val="0"/>
          <c:cat>
            <c:strRef>
              <c:f>CATEGORY_WISE_SALE!$A$4:$A$5</c:f>
              <c:strCache>
                <c:ptCount val="1"/>
                <c:pt idx="0">
                  <c:v>Furniture</c:v>
                </c:pt>
              </c:strCache>
            </c:strRef>
          </c:cat>
          <c:val>
            <c:numRef>
              <c:f>CATEGORY_WISE_SALE!$B$4:$B$5</c:f>
              <c:numCache>
                <c:formatCode>General</c:formatCode>
                <c:ptCount val="1"/>
                <c:pt idx="0">
                  <c:v>7056142.2700000014</c:v>
                </c:pt>
              </c:numCache>
            </c:numRef>
          </c:val>
          <c:extLst>
            <c:ext xmlns:c16="http://schemas.microsoft.com/office/drawing/2014/chart" uri="{C3380CC4-5D6E-409C-BE32-E72D297353CC}">
              <c16:uniqueId val="{00000001-AA1B-48D3-A9B4-E8F75037EA4A}"/>
            </c:ext>
          </c:extLst>
        </c:ser>
        <c:dLbls>
          <c:showLegendKey val="0"/>
          <c:showVal val="0"/>
          <c:showCatName val="0"/>
          <c:showSerName val="0"/>
          <c:showPercent val="0"/>
          <c:showBubbleSize val="0"/>
        </c:dLbls>
        <c:gapWidth val="219"/>
        <c:overlap val="-27"/>
        <c:axId val="1077120399"/>
        <c:axId val="1077122063"/>
      </c:barChart>
      <c:catAx>
        <c:axId val="107712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1077122063"/>
        <c:crosses val="autoZero"/>
        <c:auto val="1"/>
        <c:lblAlgn val="ctr"/>
        <c:lblOffset val="100"/>
        <c:noMultiLvlLbl val="0"/>
      </c:catAx>
      <c:valAx>
        <c:axId val="107712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1077120399"/>
        <c:crosses val="autoZero"/>
        <c:crossBetween val="between"/>
      </c:valAx>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effectLst>
      <a:innerShdw blurRad="63500" dist="50800" dir="54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[Retail_Sales_Excel_Project.xlsx]MONTHLY_SALES!PivotTable3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1"/>
              <a:t>Monthly_wise_Sale</a:t>
            </a:r>
          </a:p>
          <a:p>
            <a:pPr>
              <a:defRPr/>
            </a:pPr>
            <a:endParaRPr lang="en-IN" b="1" i="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597987</c:v>
                </c:pt>
                <c:pt idx="1">
                  <c:v>687531.26000000013</c:v>
                </c:pt>
                <c:pt idx="2">
                  <c:v>627197.15</c:v>
                </c:pt>
                <c:pt idx="3">
                  <c:v>603624.99999999988</c:v>
                </c:pt>
                <c:pt idx="4">
                  <c:v>457890.61</c:v>
                </c:pt>
                <c:pt idx="5">
                  <c:v>667167.92000000004</c:v>
                </c:pt>
                <c:pt idx="6">
                  <c:v>515862.56999999995</c:v>
                </c:pt>
                <c:pt idx="7">
                  <c:v>399341.87</c:v>
                </c:pt>
                <c:pt idx="8">
                  <c:v>706249</c:v>
                </c:pt>
                <c:pt idx="9">
                  <c:v>482422.42999999993</c:v>
                </c:pt>
                <c:pt idx="10">
                  <c:v>564393.93999999994</c:v>
                </c:pt>
                <c:pt idx="11">
                  <c:v>746473.52000000014</c:v>
                </c:pt>
              </c:numCache>
            </c:numRef>
          </c:val>
          <c:smooth val="0"/>
          <c:extLst>
            <c:ext xmlns:c16="http://schemas.microsoft.com/office/drawing/2014/chart" uri="{C3380CC4-5D6E-409C-BE32-E72D297353CC}">
              <c16:uniqueId val="{00000000-D601-46EB-A380-68E2F37EA524}"/>
            </c:ext>
          </c:extLst>
        </c:ser>
        <c:dLbls>
          <c:showLegendKey val="0"/>
          <c:showVal val="0"/>
          <c:showCatName val="0"/>
          <c:showSerName val="0"/>
          <c:showPercent val="0"/>
          <c:showBubbleSize val="0"/>
        </c:dLbls>
        <c:smooth val="0"/>
        <c:axId val="908409600"/>
        <c:axId val="908412512"/>
      </c:lineChart>
      <c:catAx>
        <c:axId val="9084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908412512"/>
        <c:crosses val="autoZero"/>
        <c:auto val="1"/>
        <c:lblAlgn val="ctr"/>
        <c:lblOffset val="100"/>
        <c:noMultiLvlLbl val="0"/>
      </c:catAx>
      <c:valAx>
        <c:axId val="90841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j-lt"/>
                <a:ea typeface="+mn-ea"/>
                <a:cs typeface="+mn-cs"/>
              </a:defRPr>
            </a:pPr>
            <a:endParaRPr lang="en-US"/>
          </a:p>
        </c:txPr>
        <c:crossAx val="908409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228600">
        <a:schemeClr val="accent4">
          <a:satMod val="175000"/>
          <a:alpha val="40000"/>
        </a:schemeClr>
      </a:glow>
      <a:innerShdw blurRad="114300">
        <a:prstClr val="black"/>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[Retail_Sales_Excel_Project.xlsx]MONTHLY_SALES!PivotTable3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i="1"/>
              <a:t>Category_wise_Sale</a:t>
            </a:r>
          </a:p>
          <a:p>
            <a:pPr>
              <a:defRPr/>
            </a:pPr>
            <a:endParaRPr lang="en-IN" b="1" i="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MONTHLY_SALES!$B$4:$B$16</c:f>
              <c:numCache>
                <c:formatCode>General</c:formatCode>
                <c:ptCount val="12"/>
                <c:pt idx="0">
                  <c:v>597987</c:v>
                </c:pt>
                <c:pt idx="1">
                  <c:v>687531.26000000013</c:v>
                </c:pt>
                <c:pt idx="2">
                  <c:v>627197.15</c:v>
                </c:pt>
                <c:pt idx="3">
                  <c:v>603624.99999999988</c:v>
                </c:pt>
                <c:pt idx="4">
                  <c:v>457890.61</c:v>
                </c:pt>
                <c:pt idx="5">
                  <c:v>667167.92000000004</c:v>
                </c:pt>
                <c:pt idx="6">
                  <c:v>515862.56999999995</c:v>
                </c:pt>
                <c:pt idx="7">
                  <c:v>399341.87</c:v>
                </c:pt>
                <c:pt idx="8">
                  <c:v>706249</c:v>
                </c:pt>
                <c:pt idx="9">
                  <c:v>482422.42999999993</c:v>
                </c:pt>
                <c:pt idx="10">
                  <c:v>564393.93999999994</c:v>
                </c:pt>
                <c:pt idx="11">
                  <c:v>746473.52000000014</c:v>
                </c:pt>
              </c:numCache>
            </c:numRef>
          </c:val>
          <c:smooth val="0"/>
          <c:extLst>
            <c:ext xmlns:c16="http://schemas.microsoft.com/office/drawing/2014/chart" uri="{C3380CC4-5D6E-409C-BE32-E72D297353CC}">
              <c16:uniqueId val="{00000000-B095-4723-96F8-3113D9472422}"/>
            </c:ext>
          </c:extLst>
        </c:ser>
        <c:dLbls>
          <c:showLegendKey val="0"/>
          <c:showVal val="0"/>
          <c:showCatName val="0"/>
          <c:showSerName val="0"/>
          <c:showPercent val="0"/>
          <c:showBubbleSize val="0"/>
        </c:dLbls>
        <c:smooth val="0"/>
        <c:axId val="908409600"/>
        <c:axId val="908412512"/>
      </c:lineChart>
      <c:catAx>
        <c:axId val="90840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12512"/>
        <c:crosses val="autoZero"/>
        <c:auto val="1"/>
        <c:lblAlgn val="ctr"/>
        <c:lblOffset val="100"/>
        <c:noMultiLvlLbl val="0"/>
      </c:catAx>
      <c:valAx>
        <c:axId val="90841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409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[Retail_Sales_Excel_Project.xlsx]CATEGORY_WISE_SALE!PivotTable1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Category_wise_Sales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CATEGORY_WISE_SALE!$B$3</c:f>
              <c:strCache>
                <c:ptCount val="1"/>
                <c:pt idx="0">
                  <c:v>Total</c:v>
                </c:pt>
              </c:strCache>
            </c:strRef>
          </c:tx>
          <c:spPr>
            <a:solidFill>
              <a:schemeClr val="accent1"/>
            </a:solidFill>
            <a:ln>
              <a:noFill/>
            </a:ln>
            <a:effectLst/>
          </c:spPr>
          <c:invertIfNegative val="0"/>
          <c:cat>
            <c:strRef>
              <c:f>CATEGORY_WISE_SALE!$A$4:$A$5</c:f>
              <c:strCache>
                <c:ptCount val="1"/>
                <c:pt idx="0">
                  <c:v>Furniture</c:v>
                </c:pt>
              </c:strCache>
            </c:strRef>
          </c:cat>
          <c:val>
            <c:numRef>
              <c:f>CATEGORY_WISE_SALE!$B$4:$B$5</c:f>
              <c:numCache>
                <c:formatCode>General</c:formatCode>
                <c:ptCount val="1"/>
                <c:pt idx="0">
                  <c:v>7056142.2700000014</c:v>
                </c:pt>
              </c:numCache>
            </c:numRef>
          </c:val>
          <c:extLst>
            <c:ext xmlns:c16="http://schemas.microsoft.com/office/drawing/2014/chart" uri="{C3380CC4-5D6E-409C-BE32-E72D297353CC}">
              <c16:uniqueId val="{00000000-7384-458F-BCF1-A26A29A515F3}"/>
            </c:ext>
          </c:extLst>
        </c:ser>
        <c:dLbls>
          <c:showLegendKey val="0"/>
          <c:showVal val="0"/>
          <c:showCatName val="0"/>
          <c:showSerName val="0"/>
          <c:showPercent val="0"/>
          <c:showBubbleSize val="0"/>
        </c:dLbls>
        <c:gapWidth val="219"/>
        <c:overlap val="-27"/>
        <c:axId val="1077120399"/>
        <c:axId val="1077122063"/>
      </c:barChart>
      <c:catAx>
        <c:axId val="107712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122063"/>
        <c:crosses val="autoZero"/>
        <c:auto val="1"/>
        <c:lblAlgn val="ctr"/>
        <c:lblOffset val="100"/>
        <c:noMultiLvlLbl val="0"/>
      </c:catAx>
      <c:valAx>
        <c:axId val="107712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120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CITY_WISE_SALE!A1"/><Relationship Id="rId7" Type="http://schemas.openxmlformats.org/officeDocument/2006/relationships/chart" Target="../charts/chart4.xml"/><Relationship Id="rId12" Type="http://schemas.openxmlformats.org/officeDocument/2006/relationships/hyperlink" Target="#INSIGHT!A1"/><Relationship Id="rId2" Type="http://schemas.openxmlformats.org/officeDocument/2006/relationships/hyperlink" Target="#CONCLUSION!A1"/><Relationship Id="rId1" Type="http://schemas.openxmlformats.org/officeDocument/2006/relationships/hyperlink" Target="#Orders_Data!A1"/><Relationship Id="rId6" Type="http://schemas.openxmlformats.org/officeDocument/2006/relationships/chart" Target="../charts/chart3.xml"/><Relationship Id="rId11" Type="http://schemas.openxmlformats.org/officeDocument/2006/relationships/chart" Target="../charts/chart7.xml"/><Relationship Id="rId5" Type="http://schemas.openxmlformats.org/officeDocument/2006/relationships/chart" Target="../charts/chart2.xml"/><Relationship Id="rId10" Type="http://schemas.openxmlformats.org/officeDocument/2006/relationships/hyperlink" Target="#CATEGORY_WISE_SALE!A1"/><Relationship Id="rId4" Type="http://schemas.openxmlformats.org/officeDocument/2006/relationships/hyperlink" Target="#MONTHLY_SALES!A1"/><Relationship Id="rId9"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80962</xdr:colOff>
      <xdr:row>2</xdr:row>
      <xdr:rowOff>76200</xdr:rowOff>
    </xdr:from>
    <xdr:to>
      <xdr:col>9</xdr:col>
      <xdr:colOff>385762</xdr:colOff>
      <xdr:row>16</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272142</xdr:colOff>
      <xdr:row>3</xdr:row>
      <xdr:rowOff>27214</xdr:rowOff>
    </xdr:from>
    <xdr:to>
      <xdr:col>20</xdr:col>
      <xdr:colOff>489857</xdr:colOff>
      <xdr:row>4</xdr:row>
      <xdr:rowOff>367393</xdr:rowOff>
    </xdr:to>
    <xdr:sp macro="" textlink="">
      <xdr:nvSpPr>
        <xdr:cNvPr id="11" name="Rounded Rectangle 10">
          <a:hlinkClick xmlns:r="http://schemas.openxmlformats.org/officeDocument/2006/relationships" r:id="rId1"/>
        </xdr:cNvPr>
        <xdr:cNvSpPr/>
      </xdr:nvSpPr>
      <xdr:spPr>
        <a:xfrm>
          <a:off x="14192249" y="966107"/>
          <a:ext cx="2054679" cy="680357"/>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t>  Orders_Data</a:t>
          </a:r>
        </a:p>
      </xdr:txBody>
    </xdr:sp>
    <xdr:clientData/>
  </xdr:twoCellAnchor>
  <xdr:twoCellAnchor>
    <xdr:from>
      <xdr:col>0</xdr:col>
      <xdr:colOff>163286</xdr:colOff>
      <xdr:row>24</xdr:row>
      <xdr:rowOff>40821</xdr:rowOff>
    </xdr:from>
    <xdr:to>
      <xdr:col>4</xdr:col>
      <xdr:colOff>54428</xdr:colOff>
      <xdr:row>27</xdr:row>
      <xdr:rowOff>176892</xdr:rowOff>
    </xdr:to>
    <xdr:sp macro="" textlink="">
      <xdr:nvSpPr>
        <xdr:cNvPr id="14" name="Rounded Rectangle 13">
          <a:hlinkClick xmlns:r="http://schemas.openxmlformats.org/officeDocument/2006/relationships" r:id="rId2"/>
        </xdr:cNvPr>
        <xdr:cNvSpPr/>
      </xdr:nvSpPr>
      <xdr:spPr>
        <a:xfrm>
          <a:off x="163286" y="5374821"/>
          <a:ext cx="2340428" cy="707571"/>
        </a:xfrm>
        <a:prstGeom prst="roundRect">
          <a:avLst/>
        </a:prstGeom>
        <a:solidFill>
          <a:srgbClr val="65D7DD"/>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i="1"/>
            <a:t>    Conclusion</a:t>
          </a:r>
        </a:p>
      </xdr:txBody>
    </xdr:sp>
    <xdr:clientData/>
  </xdr:twoCellAnchor>
  <xdr:twoCellAnchor>
    <xdr:from>
      <xdr:col>13</xdr:col>
      <xdr:colOff>244930</xdr:colOff>
      <xdr:row>24</xdr:row>
      <xdr:rowOff>40822</xdr:rowOff>
    </xdr:from>
    <xdr:to>
      <xdr:col>16</xdr:col>
      <xdr:colOff>571500</xdr:colOff>
      <xdr:row>28</xdr:row>
      <xdr:rowOff>27214</xdr:rowOff>
    </xdr:to>
    <xdr:sp macro="" textlink="">
      <xdr:nvSpPr>
        <xdr:cNvPr id="18" name="Rounded Rectangle 17">
          <a:hlinkClick xmlns:r="http://schemas.openxmlformats.org/officeDocument/2006/relationships" r:id="rId3"/>
        </xdr:cNvPr>
        <xdr:cNvSpPr/>
      </xdr:nvSpPr>
      <xdr:spPr>
        <a:xfrm>
          <a:off x="11715751" y="5374822"/>
          <a:ext cx="2163535" cy="748392"/>
        </a:xfrm>
        <a:prstGeom prst="roundRect">
          <a:avLst/>
        </a:prstGeom>
        <a:solidFill>
          <a:srgbClr val="99FFCC"/>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t> City_wise_sale</a:t>
          </a:r>
        </a:p>
      </xdr:txBody>
    </xdr:sp>
    <xdr:clientData/>
  </xdr:twoCellAnchor>
  <xdr:twoCellAnchor>
    <xdr:from>
      <xdr:col>17</xdr:col>
      <xdr:colOff>190500</xdr:colOff>
      <xdr:row>24</xdr:row>
      <xdr:rowOff>68036</xdr:rowOff>
    </xdr:from>
    <xdr:to>
      <xdr:col>20</xdr:col>
      <xdr:colOff>517071</xdr:colOff>
      <xdr:row>28</xdr:row>
      <xdr:rowOff>54428</xdr:rowOff>
    </xdr:to>
    <xdr:sp macro="" textlink="">
      <xdr:nvSpPr>
        <xdr:cNvPr id="19" name="Rounded Rectangle 18">
          <a:hlinkClick xmlns:r="http://schemas.openxmlformats.org/officeDocument/2006/relationships" r:id="rId4"/>
        </xdr:cNvPr>
        <xdr:cNvSpPr/>
      </xdr:nvSpPr>
      <xdr:spPr>
        <a:xfrm>
          <a:off x="14110607" y="5402036"/>
          <a:ext cx="2163535" cy="748392"/>
        </a:xfrm>
        <a:prstGeom prst="roundRect">
          <a:avLst/>
        </a:prstGeom>
        <a:solidFill>
          <a:srgbClr val="65D7DD"/>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a:t>  Monthly_sales</a:t>
          </a:r>
        </a:p>
      </xdr:txBody>
    </xdr:sp>
    <xdr:clientData/>
  </xdr:twoCellAnchor>
  <xdr:twoCellAnchor>
    <xdr:from>
      <xdr:col>0</xdr:col>
      <xdr:colOff>0</xdr:colOff>
      <xdr:row>16</xdr:row>
      <xdr:rowOff>108857</xdr:rowOff>
    </xdr:from>
    <xdr:to>
      <xdr:col>1</xdr:col>
      <xdr:colOff>40822</xdr:colOff>
      <xdr:row>22</xdr:row>
      <xdr:rowOff>81643</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95252</xdr:colOff>
      <xdr:row>5</xdr:row>
      <xdr:rowOff>179849</xdr:rowOff>
    </xdr:from>
    <xdr:to>
      <xdr:col>14</xdr:col>
      <xdr:colOff>27215</xdr:colOff>
      <xdr:row>22</xdr:row>
      <xdr:rowOff>149678</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136072</xdr:colOff>
      <xdr:row>17</xdr:row>
      <xdr:rowOff>163287</xdr:rowOff>
    </xdr:from>
    <xdr:to>
      <xdr:col>22</xdr:col>
      <xdr:colOff>217716</xdr:colOff>
      <xdr:row>18</xdr:row>
      <xdr:rowOff>27215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394607</xdr:colOff>
      <xdr:row>5</xdr:row>
      <xdr:rowOff>136071</xdr:rowOff>
    </xdr:from>
    <xdr:to>
      <xdr:col>23</xdr:col>
      <xdr:colOff>530678</xdr:colOff>
      <xdr:row>22</xdr:row>
      <xdr:rowOff>176893</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340179</xdr:colOff>
      <xdr:row>6</xdr:row>
      <xdr:rowOff>13608</xdr:rowOff>
    </xdr:from>
    <xdr:to>
      <xdr:col>8</xdr:col>
      <xdr:colOff>775607</xdr:colOff>
      <xdr:row>22</xdr:row>
      <xdr:rowOff>122464</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680356</xdr:colOff>
      <xdr:row>23</xdr:row>
      <xdr:rowOff>54428</xdr:rowOff>
    </xdr:from>
    <xdr:to>
      <xdr:col>10</xdr:col>
      <xdr:colOff>1061356</xdr:colOff>
      <xdr:row>35</xdr:row>
      <xdr:rowOff>176894</xdr:rowOff>
    </xdr:to>
    <mc:AlternateContent xmlns:mc="http://schemas.openxmlformats.org/markup-compatibility/2006" xmlns:a14="http://schemas.microsoft.com/office/drawing/2010/main">
      <mc:Choice Requires="a14">
        <xdr:graphicFrame macro="">
          <xdr:nvGraphicFramePr>
            <xdr:cNvPr id="22"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5578927" y="5197928"/>
              <a:ext cx="2694215" cy="2408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1319892</xdr:colOff>
      <xdr:row>23</xdr:row>
      <xdr:rowOff>68034</xdr:rowOff>
    </xdr:from>
    <xdr:to>
      <xdr:col>12</xdr:col>
      <xdr:colOff>1415141</xdr:colOff>
      <xdr:row>35</xdr:row>
      <xdr:rowOff>163286</xdr:rowOff>
    </xdr:to>
    <mc:AlternateContent xmlns:mc="http://schemas.openxmlformats.org/markup-compatibility/2006" xmlns:a14="http://schemas.microsoft.com/office/drawing/2010/main">
      <mc:Choice Requires="a14">
        <xdr:graphicFrame macro="">
          <xdr:nvGraphicFramePr>
            <xdr:cNvPr id="23"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8531678" y="5211534"/>
              <a:ext cx="2843892" cy="2381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326571</xdr:colOff>
      <xdr:row>24</xdr:row>
      <xdr:rowOff>68037</xdr:rowOff>
    </xdr:from>
    <xdr:to>
      <xdr:col>8</xdr:col>
      <xdr:colOff>326571</xdr:colOff>
      <xdr:row>28</xdr:row>
      <xdr:rowOff>1</xdr:rowOff>
    </xdr:to>
    <xdr:sp macro="" textlink="">
      <xdr:nvSpPr>
        <xdr:cNvPr id="2" name="Rounded Rectangle 1">
          <a:hlinkClick xmlns:r="http://schemas.openxmlformats.org/officeDocument/2006/relationships" r:id="rId10"/>
        </xdr:cNvPr>
        <xdr:cNvSpPr/>
      </xdr:nvSpPr>
      <xdr:spPr>
        <a:xfrm>
          <a:off x="2775857" y="5402037"/>
          <a:ext cx="2449285" cy="69396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400" b="1" i="1">
              <a:latin typeface="Arial" panose="020B0604020202020204" pitchFamily="34" charset="0"/>
              <a:cs typeface="Arial" panose="020B0604020202020204" pitchFamily="34" charset="0"/>
            </a:rPr>
            <a:t>Category_wise_sale</a:t>
          </a:r>
        </a:p>
      </xdr:txBody>
    </xdr:sp>
    <xdr:clientData/>
  </xdr:twoCellAnchor>
  <xdr:twoCellAnchor>
    <xdr:from>
      <xdr:col>14</xdr:col>
      <xdr:colOff>462642</xdr:colOff>
      <xdr:row>5</xdr:row>
      <xdr:rowOff>81641</xdr:rowOff>
    </xdr:from>
    <xdr:to>
      <xdr:col>23</xdr:col>
      <xdr:colOff>408214</xdr:colOff>
      <xdr:row>22</xdr:row>
      <xdr:rowOff>68036</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449038</xdr:colOff>
      <xdr:row>3</xdr:row>
      <xdr:rowOff>163286</xdr:rowOff>
    </xdr:from>
    <xdr:to>
      <xdr:col>5</xdr:col>
      <xdr:colOff>353787</xdr:colOff>
      <xdr:row>5</xdr:row>
      <xdr:rowOff>27214</xdr:rowOff>
    </xdr:to>
    <xdr:sp macro="" textlink="">
      <xdr:nvSpPr>
        <xdr:cNvPr id="4" name="Rounded Rectangle 3">
          <a:hlinkClick xmlns:r="http://schemas.openxmlformats.org/officeDocument/2006/relationships" r:id="rId12"/>
        </xdr:cNvPr>
        <xdr:cNvSpPr/>
      </xdr:nvSpPr>
      <xdr:spPr>
        <a:xfrm>
          <a:off x="1061359" y="1102179"/>
          <a:ext cx="2354035" cy="639535"/>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800" b="1" i="1"/>
            <a:t>     Insighs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576262</xdr:colOff>
      <xdr:row>4</xdr:row>
      <xdr:rowOff>161925</xdr:rowOff>
    </xdr:from>
    <xdr:to>
      <xdr:col>11</xdr:col>
      <xdr:colOff>271462</xdr:colOff>
      <xdr:row>19</xdr:row>
      <xdr:rowOff>47625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519112</xdr:colOff>
      <xdr:row>4</xdr:row>
      <xdr:rowOff>133350</xdr:rowOff>
    </xdr:from>
    <xdr:to>
      <xdr:col>10</xdr:col>
      <xdr:colOff>214312</xdr:colOff>
      <xdr:row>19</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219075</xdr:colOff>
      <xdr:row>5</xdr:row>
      <xdr:rowOff>9525</xdr:rowOff>
    </xdr:from>
    <xdr:to>
      <xdr:col>14</xdr:col>
      <xdr:colOff>219075</xdr:colOff>
      <xdr:row>17</xdr:row>
      <xdr:rowOff>104775</xdr:rowOff>
    </xdr:to>
    <mc:AlternateContent xmlns:mc="http://schemas.openxmlformats.org/markup-compatibility/2006" xmlns:a14="http://schemas.microsoft.com/office/drawing/2010/main">
      <mc:Choice Requires="a14">
        <xdr:graphicFrame macro="">
          <xdr:nvGraphicFramePr>
            <xdr:cNvPr id="3"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477125" y="9620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285750</xdr:colOff>
      <xdr:row>4</xdr:row>
      <xdr:rowOff>180975</xdr:rowOff>
    </xdr:from>
    <xdr:to>
      <xdr:col>18</xdr:col>
      <xdr:colOff>285750</xdr:colOff>
      <xdr:row>17</xdr:row>
      <xdr:rowOff>85725</xdr:rowOff>
    </xdr:to>
    <mc:AlternateContent xmlns:mc="http://schemas.openxmlformats.org/markup-compatibility/2006" xmlns:a14="http://schemas.microsoft.com/office/drawing/2010/main">
      <mc:Choice Requires="a14">
        <xdr:graphicFrame macro="">
          <xdr:nvGraphicFramePr>
            <xdr:cNvPr id="4"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982200" y="94297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22412</xdr:colOff>
      <xdr:row>2</xdr:row>
      <xdr:rowOff>27456</xdr:rowOff>
    </xdr:from>
    <xdr:to>
      <xdr:col>12</xdr:col>
      <xdr:colOff>136711</xdr:colOff>
      <xdr:row>9</xdr:row>
      <xdr:rowOff>56030</xdr:rowOff>
    </xdr:to>
    <xdr:pic>
      <xdr:nvPicPr>
        <xdr:cNvPr id="6" name="Picture 5"/>
        <xdr:cNvPicPr>
          <a:picLocks noChangeAspect="1"/>
        </xdr:cNvPicPr>
      </xdr:nvPicPr>
      <xdr:blipFill>
        <a:blip xmlns:r="http://schemas.openxmlformats.org/officeDocument/2006/relationships" r:embed="rId1"/>
        <a:stretch>
          <a:fillRect/>
        </a:stretch>
      </xdr:blipFill>
      <xdr:spPr>
        <a:xfrm>
          <a:off x="1837765" y="408456"/>
          <a:ext cx="6165476" cy="1362074"/>
        </a:xfrm>
        <a:prstGeom prst="rect">
          <a:avLst/>
        </a:prstGeom>
      </xdr:spPr>
    </xdr:pic>
    <xdr:clientData/>
  </xdr:twoCellAnchor>
  <xdr:twoCellAnchor editAs="oneCell">
    <xdr:from>
      <xdr:col>1</xdr:col>
      <xdr:colOff>604559</xdr:colOff>
      <xdr:row>8</xdr:row>
      <xdr:rowOff>61632</xdr:rowOff>
    </xdr:from>
    <xdr:to>
      <xdr:col>9</xdr:col>
      <xdr:colOff>304242</xdr:colOff>
      <xdr:row>17</xdr:row>
      <xdr:rowOff>67235</xdr:rowOff>
    </xdr:to>
    <xdr:pic>
      <xdr:nvPicPr>
        <xdr:cNvPr id="8" name="Picture 7"/>
        <xdr:cNvPicPr>
          <a:picLocks noChangeAspect="1"/>
        </xdr:cNvPicPr>
      </xdr:nvPicPr>
      <xdr:blipFill>
        <a:blip xmlns:r="http://schemas.openxmlformats.org/officeDocument/2006/relationships" r:embed="rId2"/>
        <a:stretch>
          <a:fillRect/>
        </a:stretch>
      </xdr:blipFill>
      <xdr:spPr>
        <a:xfrm>
          <a:off x="1209677" y="1585632"/>
          <a:ext cx="4540624" cy="1720103"/>
        </a:xfrm>
        <a:prstGeom prst="rect">
          <a:avLst/>
        </a:prstGeom>
      </xdr:spPr>
    </xdr:pic>
    <xdr:clientData/>
  </xdr:twoCellAnchor>
  <xdr:twoCellAnchor editAs="oneCell">
    <xdr:from>
      <xdr:col>2</xdr:col>
      <xdr:colOff>131669</xdr:colOff>
      <xdr:row>17</xdr:row>
      <xdr:rowOff>8965</xdr:rowOff>
    </xdr:from>
    <xdr:to>
      <xdr:col>7</xdr:col>
      <xdr:colOff>99691</xdr:colOff>
      <xdr:row>26</xdr:row>
      <xdr:rowOff>151840</xdr:rowOff>
    </xdr:to>
    <xdr:pic>
      <xdr:nvPicPr>
        <xdr:cNvPr id="10" name="Picture 9"/>
        <xdr:cNvPicPr>
          <a:picLocks noChangeAspect="1"/>
        </xdr:cNvPicPr>
      </xdr:nvPicPr>
      <xdr:blipFill>
        <a:blip xmlns:r="http://schemas.openxmlformats.org/officeDocument/2006/relationships" r:embed="rId3"/>
        <a:stretch>
          <a:fillRect/>
        </a:stretch>
      </xdr:blipFill>
      <xdr:spPr>
        <a:xfrm>
          <a:off x="1947022" y="3247465"/>
          <a:ext cx="2993611" cy="18573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6175.395077314817" createdVersion="6" refreshedVersion="6" minRefreshableVersion="3" recordCount="1000">
  <cacheSource type="worksheet">
    <worksheetSource ref="A1:K1001" sheet="Orders_Data"/>
  </cacheSource>
  <cacheFields count="11">
    <cacheField name="Order_ID" numFmtId="0">
      <sharedItems/>
    </cacheField>
    <cacheField name="Order_Date" numFmtId="14">
      <sharedItems/>
    </cacheField>
    <cacheField name="month " numFmtId="0">
      <sharedItems count="12">
        <s v="Jun"/>
        <s v="Feb"/>
        <s v="Mar"/>
        <s v="Oct"/>
        <s v="May"/>
        <s v="Sep"/>
        <s v="Aug"/>
        <s v="Jul"/>
        <s v="Jan"/>
        <s v="Apr"/>
        <s v="Nov"/>
        <s v="Dec"/>
      </sharedItems>
    </cacheField>
    <cacheField name="year" numFmtId="0">
      <sharedItems containsSemiMixedTypes="0" containsString="0" containsNumber="1" containsInteger="1" minValue="2025" maxValue="2025"/>
    </cacheField>
    <cacheField name="Customer_Name" numFmtId="0">
      <sharedItems/>
    </cacheField>
    <cacheField name="City" numFmtId="0">
      <sharedItems count="7">
        <s v="Lucknow"/>
        <s v="Pune"/>
        <s v="Hyderabad"/>
        <s v="Mumbai"/>
        <s v="Varanasi"/>
        <s v="Bangalore"/>
        <s v="Delhi"/>
      </sharedItems>
    </cacheField>
    <cacheField name="Category" numFmtId="0">
      <sharedItems count="4">
        <s v="Furniture"/>
        <s v="Clothing"/>
        <s v="Electronics"/>
        <s v="Office Supplies"/>
      </sharedItems>
    </cacheField>
    <cacheField name="Product" numFmtId="0">
      <sharedItems count="20">
        <s v="Chair"/>
        <s v="Shoes"/>
        <s v="Headphones"/>
        <s v="Table"/>
        <s v="T-Shirt"/>
        <s v="Smartphone"/>
        <s v="Stapler"/>
        <s v="Jeans"/>
        <s v="Jacket"/>
        <s v="Sofa"/>
        <s v="Bed"/>
        <s v="Marker"/>
        <s v="Hoodie"/>
        <s v="Printer Paper"/>
        <s v="Cabinet"/>
        <s v="Notebook"/>
        <s v="Laptop"/>
        <s v="Keyboard"/>
        <s v="Pen"/>
        <s v="Monitor"/>
      </sharedItems>
    </cacheField>
    <cacheField name="Sales" numFmtId="0">
      <sharedItems containsSemiMixedTypes="0" containsString="0" containsNumber="1" minValue="530.83000000000004" maxValue="49935.57"/>
    </cacheField>
    <cacheField name="Quantity" numFmtId="0">
      <sharedItems containsSemiMixedTypes="0" containsString="0" containsNumber="1" containsInteger="1" minValue="1" maxValue="10"/>
    </cacheField>
    <cacheField name="Profit" numFmtId="0">
      <sharedItems containsSemiMixedTypes="0" containsString="0" containsNumber="1" minValue="-2180.4899999999998" maxValue="14665.19"/>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ORD0001"/>
    <s v="2025-06-05"/>
    <x v="0"/>
    <n v="2025"/>
    <s v="Stacey Cook"/>
    <x v="0"/>
    <x v="0"/>
    <x v="0"/>
    <n v="37923.08"/>
    <n v="6"/>
    <n v="-106.1"/>
  </r>
  <r>
    <s v="ORD0002"/>
    <s v="2025-02-11"/>
    <x v="1"/>
    <n v="2025"/>
    <s v="Richard Barton"/>
    <x v="1"/>
    <x v="1"/>
    <x v="1"/>
    <n v="47187.35"/>
    <n v="4"/>
    <n v="1543.97"/>
  </r>
  <r>
    <s v="ORD0003"/>
    <s v="2025-03-30"/>
    <x v="2"/>
    <n v="2025"/>
    <s v="Johnny Matthews"/>
    <x v="2"/>
    <x v="2"/>
    <x v="2"/>
    <n v="37367.26"/>
    <n v="6"/>
    <n v="9060.9"/>
  </r>
  <r>
    <s v="ORD0004"/>
    <s v="2025-10-06"/>
    <x v="3"/>
    <n v="2025"/>
    <s v="James Gomez"/>
    <x v="0"/>
    <x v="0"/>
    <x v="3"/>
    <n v="33352.21"/>
    <n v="3"/>
    <n v="959.5"/>
  </r>
  <r>
    <s v="ORD0005"/>
    <s v="2025-05-22"/>
    <x v="4"/>
    <n v="2025"/>
    <s v="Dennis Roberts"/>
    <x v="3"/>
    <x v="2"/>
    <x v="2"/>
    <n v="4973.96"/>
    <n v="3"/>
    <n v="1316.02"/>
  </r>
  <r>
    <s v="ORD0006"/>
    <s v="2025-09-27"/>
    <x v="5"/>
    <n v="2025"/>
    <s v="Benjamin Ortiz"/>
    <x v="4"/>
    <x v="0"/>
    <x v="3"/>
    <n v="49234.09"/>
    <n v="6"/>
    <n v="9706.75"/>
  </r>
  <r>
    <s v="ORD0007"/>
    <s v="2025-06-01"/>
    <x v="0"/>
    <n v="2025"/>
    <s v="Kayla Richards"/>
    <x v="5"/>
    <x v="1"/>
    <x v="4"/>
    <n v="23972.85"/>
    <n v="3"/>
    <n v="3186.25"/>
  </r>
  <r>
    <s v="ORD0008"/>
    <s v="2025-08-20"/>
    <x v="6"/>
    <n v="2025"/>
    <s v="Cody Chapman"/>
    <x v="0"/>
    <x v="2"/>
    <x v="5"/>
    <n v="30514.83"/>
    <n v="9"/>
    <n v="7001.91"/>
  </r>
  <r>
    <s v="ORD0009"/>
    <s v="2025-07-18"/>
    <x v="7"/>
    <n v="2025"/>
    <s v="Francisco Martinez"/>
    <x v="4"/>
    <x v="0"/>
    <x v="0"/>
    <n v="5030.43"/>
    <n v="7"/>
    <n v="-227.58"/>
  </r>
  <r>
    <s v="ORD0010"/>
    <s v="2025-02-27"/>
    <x v="1"/>
    <n v="2025"/>
    <s v="Jennifer Love"/>
    <x v="1"/>
    <x v="3"/>
    <x v="6"/>
    <n v="34995.769999999997"/>
    <n v="3"/>
    <n v="828.99"/>
  </r>
  <r>
    <s v="ORD0011"/>
    <s v="2025-01-09"/>
    <x v="8"/>
    <n v="2025"/>
    <s v="Jasmine Cameron"/>
    <x v="2"/>
    <x v="1"/>
    <x v="7"/>
    <n v="29604.06"/>
    <n v="6"/>
    <n v="655.02"/>
  </r>
  <r>
    <s v="ORD0012"/>
    <s v="2025-05-20"/>
    <x v="4"/>
    <n v="2025"/>
    <s v="Amber Williams"/>
    <x v="1"/>
    <x v="1"/>
    <x v="8"/>
    <n v="41878.43"/>
    <n v="4"/>
    <n v="12237.57"/>
  </r>
  <r>
    <s v="ORD0013"/>
    <s v="2025-10-08"/>
    <x v="3"/>
    <n v="2025"/>
    <s v="Gina Simpson"/>
    <x v="1"/>
    <x v="1"/>
    <x v="7"/>
    <n v="7670.73"/>
    <n v="9"/>
    <n v="1481.41"/>
  </r>
  <r>
    <s v="ORD0014"/>
    <s v="2025-02-04"/>
    <x v="1"/>
    <n v="2025"/>
    <s v="Nicholas Carey"/>
    <x v="0"/>
    <x v="1"/>
    <x v="4"/>
    <n v="5491.1"/>
    <n v="1"/>
    <n v="23.18"/>
  </r>
  <r>
    <s v="ORD0015"/>
    <s v="2025-01-04"/>
    <x v="8"/>
    <n v="2025"/>
    <s v="Anthony Boyd"/>
    <x v="2"/>
    <x v="0"/>
    <x v="9"/>
    <n v="3685.89"/>
    <n v="7"/>
    <n v="915.83"/>
  </r>
  <r>
    <s v="ORD0016"/>
    <s v="2025-09-28"/>
    <x v="5"/>
    <n v="2025"/>
    <s v="Dwayne Cunningham"/>
    <x v="2"/>
    <x v="0"/>
    <x v="10"/>
    <n v="41732.43"/>
    <n v="4"/>
    <n v="-425.32"/>
  </r>
  <r>
    <s v="ORD0017"/>
    <s v="2025-04-06"/>
    <x v="9"/>
    <n v="2025"/>
    <s v="Brian Vincent"/>
    <x v="1"/>
    <x v="0"/>
    <x v="3"/>
    <n v="42458.9"/>
    <n v="1"/>
    <n v="10508.61"/>
  </r>
  <r>
    <s v="ORD0018"/>
    <s v="2025-06-19"/>
    <x v="0"/>
    <n v="2025"/>
    <s v="Abigail Baker"/>
    <x v="1"/>
    <x v="3"/>
    <x v="11"/>
    <n v="42223.89"/>
    <n v="9"/>
    <n v="6945"/>
  </r>
  <r>
    <s v="ORD0019"/>
    <s v="2025-02-09"/>
    <x v="1"/>
    <n v="2025"/>
    <s v="Jennifer Schmidt"/>
    <x v="0"/>
    <x v="0"/>
    <x v="10"/>
    <n v="9346.34"/>
    <n v="6"/>
    <n v="904.3"/>
  </r>
  <r>
    <s v="ORD0020"/>
    <s v="2025-11-17"/>
    <x v="10"/>
    <n v="2025"/>
    <s v="Chad Pugh"/>
    <x v="4"/>
    <x v="1"/>
    <x v="4"/>
    <n v="26350.18"/>
    <n v="2"/>
    <n v="2770.84"/>
  </r>
  <r>
    <s v="ORD0021"/>
    <s v="2025-02-18"/>
    <x v="1"/>
    <n v="2025"/>
    <s v="Nicole Campbell"/>
    <x v="4"/>
    <x v="0"/>
    <x v="9"/>
    <n v="35248.959999999999"/>
    <n v="8"/>
    <n v="4969.41"/>
  </r>
  <r>
    <s v="ORD0022"/>
    <s v="2025-11-14"/>
    <x v="10"/>
    <n v="2025"/>
    <s v="Mary Hicks"/>
    <x v="6"/>
    <x v="1"/>
    <x v="8"/>
    <n v="25906.28"/>
    <n v="5"/>
    <n v="5657.12"/>
  </r>
  <r>
    <s v="ORD0023"/>
    <s v="2025-07-19"/>
    <x v="7"/>
    <n v="2025"/>
    <s v="Brian Bell"/>
    <x v="0"/>
    <x v="1"/>
    <x v="12"/>
    <n v="48555.42"/>
    <n v="6"/>
    <n v="12982.05"/>
  </r>
  <r>
    <s v="ORD0024"/>
    <s v="2025-08-19"/>
    <x v="6"/>
    <n v="2025"/>
    <s v="Perry Steele"/>
    <x v="6"/>
    <x v="1"/>
    <x v="8"/>
    <n v="16433.45"/>
    <n v="4"/>
    <n v="2768.89"/>
  </r>
  <r>
    <s v="ORD0025"/>
    <s v="2025-06-28"/>
    <x v="0"/>
    <n v="2025"/>
    <s v="Deborah Lewis"/>
    <x v="2"/>
    <x v="0"/>
    <x v="3"/>
    <n v="31344.59"/>
    <n v="4"/>
    <n v="8556.8799999999992"/>
  </r>
  <r>
    <s v="ORD0026"/>
    <s v="2025-08-31"/>
    <x v="6"/>
    <n v="2025"/>
    <s v="Dave Johnson"/>
    <x v="3"/>
    <x v="3"/>
    <x v="13"/>
    <n v="2814.06"/>
    <n v="10"/>
    <n v="438.69"/>
  </r>
  <r>
    <s v="ORD0027"/>
    <s v="2025-01-22"/>
    <x v="8"/>
    <n v="2025"/>
    <s v="Sandra Martin"/>
    <x v="2"/>
    <x v="1"/>
    <x v="8"/>
    <n v="41518.39"/>
    <n v="3"/>
    <n v="11324.81"/>
  </r>
  <r>
    <s v="ORD0028"/>
    <s v="2025-11-16"/>
    <x v="10"/>
    <n v="2025"/>
    <s v="Scott Williams"/>
    <x v="0"/>
    <x v="1"/>
    <x v="7"/>
    <n v="24974.48"/>
    <n v="10"/>
    <n v="2967.64"/>
  </r>
  <r>
    <s v="ORD0029"/>
    <s v="2025-08-08"/>
    <x v="6"/>
    <n v="2025"/>
    <s v="Elizabeth Holder"/>
    <x v="1"/>
    <x v="0"/>
    <x v="14"/>
    <n v="11429.12"/>
    <n v="10"/>
    <n v="756.11"/>
  </r>
  <r>
    <s v="ORD0030"/>
    <s v="2025-01-13"/>
    <x v="8"/>
    <n v="2025"/>
    <s v="Jessica Armstrong"/>
    <x v="5"/>
    <x v="3"/>
    <x v="13"/>
    <n v="32538.17"/>
    <n v="9"/>
    <n v="3797.97"/>
  </r>
  <r>
    <s v="ORD0031"/>
    <s v="2025-09-17"/>
    <x v="5"/>
    <n v="2025"/>
    <s v="Robert Harris"/>
    <x v="1"/>
    <x v="3"/>
    <x v="6"/>
    <n v="19882.87"/>
    <n v="6"/>
    <n v="5610.91"/>
  </r>
  <r>
    <s v="ORD0032"/>
    <s v="2025-12-01"/>
    <x v="11"/>
    <n v="2025"/>
    <s v="Molly Robinson"/>
    <x v="5"/>
    <x v="0"/>
    <x v="9"/>
    <n v="14758.4"/>
    <n v="3"/>
    <n v="473.24"/>
  </r>
  <r>
    <s v="ORD0033"/>
    <s v="2025-11-24"/>
    <x v="10"/>
    <n v="2025"/>
    <s v="Jo Peterson"/>
    <x v="0"/>
    <x v="0"/>
    <x v="9"/>
    <n v="27211.53"/>
    <n v="3"/>
    <n v="4500.3999999999996"/>
  </r>
  <r>
    <s v="ORD0034"/>
    <s v="2025-02-11"/>
    <x v="1"/>
    <n v="2025"/>
    <s v="Amanda Yu"/>
    <x v="0"/>
    <x v="0"/>
    <x v="10"/>
    <n v="48693.9"/>
    <n v="6"/>
    <n v="-2058.46"/>
  </r>
  <r>
    <s v="ORD0035"/>
    <s v="2025-09-27"/>
    <x v="5"/>
    <n v="2025"/>
    <s v="Dean Collier"/>
    <x v="4"/>
    <x v="3"/>
    <x v="15"/>
    <n v="9720.66"/>
    <n v="9"/>
    <n v="1211.32"/>
  </r>
  <r>
    <s v="ORD0036"/>
    <s v="2025-01-02"/>
    <x v="8"/>
    <n v="2025"/>
    <s v="Michele Stephens"/>
    <x v="1"/>
    <x v="3"/>
    <x v="15"/>
    <n v="20612.28"/>
    <n v="10"/>
    <n v="295.70999999999998"/>
  </r>
  <r>
    <s v="ORD0037"/>
    <s v="2025-12-27"/>
    <x v="11"/>
    <n v="2025"/>
    <s v="Kimberly Hubbard"/>
    <x v="4"/>
    <x v="1"/>
    <x v="12"/>
    <n v="44770.68"/>
    <n v="1"/>
    <n v="2973.44"/>
  </r>
  <r>
    <s v="ORD0038"/>
    <s v="2025-08-09"/>
    <x v="6"/>
    <n v="2025"/>
    <s v="Jennifer Brown"/>
    <x v="6"/>
    <x v="3"/>
    <x v="15"/>
    <n v="4089.19"/>
    <n v="3"/>
    <n v="836.25"/>
  </r>
  <r>
    <s v="ORD0039"/>
    <s v="2025-05-02"/>
    <x v="4"/>
    <n v="2025"/>
    <s v="Beverly Martinez"/>
    <x v="6"/>
    <x v="0"/>
    <x v="10"/>
    <n v="43272.12"/>
    <n v="1"/>
    <n v="5791.44"/>
  </r>
  <r>
    <s v="ORD0040"/>
    <s v="2025-04-19"/>
    <x v="9"/>
    <n v="2025"/>
    <s v="Kimberly Brown"/>
    <x v="0"/>
    <x v="2"/>
    <x v="16"/>
    <n v="23307.22"/>
    <n v="7"/>
    <n v="956.5"/>
  </r>
  <r>
    <s v="ORD0041"/>
    <s v="2025-06-18"/>
    <x v="0"/>
    <n v="2025"/>
    <s v="John Romero"/>
    <x v="4"/>
    <x v="3"/>
    <x v="6"/>
    <n v="9602.0400000000009"/>
    <n v="5"/>
    <n v="-357.67"/>
  </r>
  <r>
    <s v="ORD0042"/>
    <s v="2025-09-28"/>
    <x v="5"/>
    <n v="2025"/>
    <s v="Jessica Gibson"/>
    <x v="2"/>
    <x v="0"/>
    <x v="10"/>
    <n v="18408.39"/>
    <n v="4"/>
    <n v="4760.5200000000004"/>
  </r>
  <r>
    <s v="ORD0043"/>
    <s v="2025-07-30"/>
    <x v="7"/>
    <n v="2025"/>
    <s v="David Cooke"/>
    <x v="5"/>
    <x v="1"/>
    <x v="1"/>
    <n v="29454.68"/>
    <n v="8"/>
    <n v="4812.3900000000003"/>
  </r>
  <r>
    <s v="ORD0044"/>
    <s v="2025-06-14"/>
    <x v="0"/>
    <n v="2025"/>
    <s v="Jack Brandt"/>
    <x v="4"/>
    <x v="0"/>
    <x v="14"/>
    <n v="3733.24"/>
    <n v="3"/>
    <n v="-157.52000000000001"/>
  </r>
  <r>
    <s v="ORD0045"/>
    <s v="2025-05-31"/>
    <x v="4"/>
    <n v="2025"/>
    <s v="Luis Murphy"/>
    <x v="6"/>
    <x v="2"/>
    <x v="17"/>
    <n v="690.3"/>
    <n v="8"/>
    <n v="4.2"/>
  </r>
  <r>
    <s v="ORD0046"/>
    <s v="2025-06-06"/>
    <x v="0"/>
    <n v="2025"/>
    <s v="Levi Lewis"/>
    <x v="6"/>
    <x v="1"/>
    <x v="12"/>
    <n v="22136.05"/>
    <n v="1"/>
    <n v="1831.64"/>
  </r>
  <r>
    <s v="ORD0047"/>
    <s v="2025-02-20"/>
    <x v="1"/>
    <n v="2025"/>
    <s v="Robin Hicks"/>
    <x v="0"/>
    <x v="3"/>
    <x v="15"/>
    <n v="49224.39"/>
    <n v="5"/>
    <n v="-1003.64"/>
  </r>
  <r>
    <s v="ORD0048"/>
    <s v="2025-06-29"/>
    <x v="0"/>
    <n v="2025"/>
    <s v="Maria Palmer"/>
    <x v="1"/>
    <x v="1"/>
    <x v="7"/>
    <n v="25085.56"/>
    <n v="7"/>
    <n v="-147.38"/>
  </r>
  <r>
    <s v="ORD0049"/>
    <s v="2025-01-28"/>
    <x v="8"/>
    <n v="2025"/>
    <s v="John Dixon"/>
    <x v="6"/>
    <x v="3"/>
    <x v="13"/>
    <n v="17046.02"/>
    <n v="4"/>
    <n v="148"/>
  </r>
  <r>
    <s v="ORD0050"/>
    <s v="2025-05-06"/>
    <x v="4"/>
    <n v="2025"/>
    <s v="Christopher Garcia"/>
    <x v="5"/>
    <x v="1"/>
    <x v="12"/>
    <n v="14029.47"/>
    <n v="1"/>
    <n v="244.13"/>
  </r>
  <r>
    <s v="ORD0051"/>
    <s v="2025-02-07"/>
    <x v="1"/>
    <n v="2025"/>
    <s v="Laura Baker"/>
    <x v="1"/>
    <x v="0"/>
    <x v="14"/>
    <n v="15465.45"/>
    <n v="10"/>
    <n v="2814.35"/>
  </r>
  <r>
    <s v="ORD0052"/>
    <s v="2025-05-06"/>
    <x v="4"/>
    <n v="2025"/>
    <s v="Jill Martin"/>
    <x v="6"/>
    <x v="3"/>
    <x v="18"/>
    <n v="10963.52"/>
    <n v="10"/>
    <n v="-148.54"/>
  </r>
  <r>
    <s v="ORD0053"/>
    <s v="2025-04-23"/>
    <x v="9"/>
    <n v="2025"/>
    <s v="Sheri Kelly"/>
    <x v="1"/>
    <x v="0"/>
    <x v="3"/>
    <n v="26154.6"/>
    <n v="7"/>
    <n v="-1025.1199999999999"/>
  </r>
  <r>
    <s v="ORD0054"/>
    <s v="2025-08-14"/>
    <x v="6"/>
    <n v="2025"/>
    <s v="David Smith"/>
    <x v="1"/>
    <x v="2"/>
    <x v="16"/>
    <n v="28685.85"/>
    <n v="4"/>
    <n v="6993.39"/>
  </r>
  <r>
    <s v="ORD0055"/>
    <s v="2025-08-17"/>
    <x v="6"/>
    <n v="2025"/>
    <s v="Jessica Wilson"/>
    <x v="5"/>
    <x v="3"/>
    <x v="18"/>
    <n v="17835.71"/>
    <n v="4"/>
    <n v="1951.99"/>
  </r>
  <r>
    <s v="ORD0056"/>
    <s v="2025-09-11"/>
    <x v="5"/>
    <n v="2025"/>
    <s v="Antonio Wells"/>
    <x v="0"/>
    <x v="1"/>
    <x v="7"/>
    <n v="6766.87"/>
    <n v="6"/>
    <n v="383.76"/>
  </r>
  <r>
    <s v="ORD0057"/>
    <s v="2025-07-16"/>
    <x v="7"/>
    <n v="2025"/>
    <s v="Philip Mathews"/>
    <x v="6"/>
    <x v="1"/>
    <x v="8"/>
    <n v="24856.29"/>
    <n v="8"/>
    <n v="3243.84"/>
  </r>
  <r>
    <s v="ORD0058"/>
    <s v="2025-01-08"/>
    <x v="8"/>
    <n v="2025"/>
    <s v="Brian Patrick"/>
    <x v="3"/>
    <x v="3"/>
    <x v="18"/>
    <n v="33677.660000000003"/>
    <n v="6"/>
    <n v="2599.4699999999998"/>
  </r>
  <r>
    <s v="ORD0059"/>
    <s v="2025-10-20"/>
    <x v="3"/>
    <n v="2025"/>
    <s v="Lori Hebert"/>
    <x v="0"/>
    <x v="0"/>
    <x v="10"/>
    <n v="10364.07"/>
    <n v="10"/>
    <n v="1656.61"/>
  </r>
  <r>
    <s v="ORD0060"/>
    <s v="2025-06-29"/>
    <x v="0"/>
    <n v="2025"/>
    <s v="Brittney Wagner"/>
    <x v="3"/>
    <x v="1"/>
    <x v="7"/>
    <n v="19523.79"/>
    <n v="1"/>
    <n v="5654.11"/>
  </r>
  <r>
    <s v="ORD0061"/>
    <s v="2025-05-31"/>
    <x v="4"/>
    <n v="2025"/>
    <s v="Justin Miller"/>
    <x v="1"/>
    <x v="0"/>
    <x v="0"/>
    <n v="33810.04"/>
    <n v="4"/>
    <n v="10041.39"/>
  </r>
  <r>
    <s v="ORD0062"/>
    <s v="2025-03-25"/>
    <x v="2"/>
    <n v="2025"/>
    <s v="Krista Davis"/>
    <x v="0"/>
    <x v="1"/>
    <x v="7"/>
    <n v="33017.07"/>
    <n v="9"/>
    <n v="-1264.8800000000001"/>
  </r>
  <r>
    <s v="ORD0063"/>
    <s v="2025-03-29"/>
    <x v="2"/>
    <n v="2025"/>
    <s v="Thomas Wolf"/>
    <x v="5"/>
    <x v="2"/>
    <x v="5"/>
    <n v="37423.54"/>
    <n v="10"/>
    <n v="2893.39"/>
  </r>
  <r>
    <s v="ORD0064"/>
    <s v="2025-01-19"/>
    <x v="8"/>
    <n v="2025"/>
    <s v="Richard Mclaughlin"/>
    <x v="5"/>
    <x v="1"/>
    <x v="1"/>
    <n v="34086.71"/>
    <n v="7"/>
    <n v="2463.83"/>
  </r>
  <r>
    <s v="ORD0065"/>
    <s v="2025-02-01"/>
    <x v="1"/>
    <n v="2025"/>
    <s v="Jessica Gibbs"/>
    <x v="1"/>
    <x v="3"/>
    <x v="18"/>
    <n v="28541.56"/>
    <n v="5"/>
    <n v="3818.11"/>
  </r>
  <r>
    <s v="ORD0066"/>
    <s v="2025-07-17"/>
    <x v="7"/>
    <n v="2025"/>
    <s v="Mary Cross"/>
    <x v="1"/>
    <x v="3"/>
    <x v="15"/>
    <n v="11134.31"/>
    <n v="6"/>
    <n v="2957.9"/>
  </r>
  <r>
    <s v="ORD0067"/>
    <s v="2025-03-26"/>
    <x v="2"/>
    <n v="2025"/>
    <s v="Thomas Dougherty"/>
    <x v="4"/>
    <x v="3"/>
    <x v="18"/>
    <n v="49210.64"/>
    <n v="1"/>
    <n v="-460.83"/>
  </r>
  <r>
    <s v="ORD0068"/>
    <s v="2025-07-18"/>
    <x v="7"/>
    <n v="2025"/>
    <s v="Sean Hester"/>
    <x v="3"/>
    <x v="3"/>
    <x v="11"/>
    <n v="7981.93"/>
    <n v="9"/>
    <n v="218.02"/>
  </r>
  <r>
    <s v="ORD0069"/>
    <s v="2025-05-28"/>
    <x v="4"/>
    <n v="2025"/>
    <s v="Joshua Zimmerman"/>
    <x v="0"/>
    <x v="2"/>
    <x v="16"/>
    <n v="11786.08"/>
    <n v="10"/>
    <n v="1299.3900000000001"/>
  </r>
  <r>
    <s v="ORD0070"/>
    <s v="2025-03-31"/>
    <x v="2"/>
    <n v="2025"/>
    <s v="Jennifer Clark"/>
    <x v="1"/>
    <x v="1"/>
    <x v="12"/>
    <n v="22564.400000000001"/>
    <n v="9"/>
    <n v="4937.1499999999996"/>
  </r>
  <r>
    <s v="ORD0071"/>
    <s v="2025-08-31"/>
    <x v="6"/>
    <n v="2025"/>
    <s v="Gary Perry"/>
    <x v="3"/>
    <x v="3"/>
    <x v="11"/>
    <n v="20024.560000000001"/>
    <n v="4"/>
    <n v="4146.6099999999997"/>
  </r>
  <r>
    <s v="ORD0072"/>
    <s v="2025-03-30"/>
    <x v="2"/>
    <n v="2025"/>
    <s v="Amy Hutchinson"/>
    <x v="5"/>
    <x v="1"/>
    <x v="1"/>
    <n v="4541.66"/>
    <n v="10"/>
    <n v="588.29"/>
  </r>
  <r>
    <s v="ORD0073"/>
    <s v="2025-08-06"/>
    <x v="6"/>
    <n v="2025"/>
    <s v="Jeffrey Mcdonald"/>
    <x v="0"/>
    <x v="1"/>
    <x v="4"/>
    <n v="39521.81"/>
    <n v="4"/>
    <n v="4447.55"/>
  </r>
  <r>
    <s v="ORD0074"/>
    <s v="2025-11-05"/>
    <x v="10"/>
    <n v="2025"/>
    <s v="Amy Rich"/>
    <x v="3"/>
    <x v="0"/>
    <x v="14"/>
    <n v="38867.56"/>
    <n v="2"/>
    <n v="6395.59"/>
  </r>
  <r>
    <s v="ORD0075"/>
    <s v="2025-07-05"/>
    <x v="7"/>
    <n v="2025"/>
    <s v="Ricardo Anderson"/>
    <x v="1"/>
    <x v="3"/>
    <x v="15"/>
    <n v="15732.71"/>
    <n v="5"/>
    <n v="1313.42"/>
  </r>
  <r>
    <s v="ORD0076"/>
    <s v="2025-01-15"/>
    <x v="8"/>
    <n v="2025"/>
    <s v="Jonathan Russo"/>
    <x v="3"/>
    <x v="1"/>
    <x v="12"/>
    <n v="36917.96"/>
    <n v="7"/>
    <n v="1976.95"/>
  </r>
  <r>
    <s v="ORD0077"/>
    <s v="2025-10-04"/>
    <x v="3"/>
    <n v="2025"/>
    <s v="James Allen Jr."/>
    <x v="2"/>
    <x v="0"/>
    <x v="3"/>
    <n v="26959.11"/>
    <n v="2"/>
    <n v="5589.63"/>
  </r>
  <r>
    <s v="ORD0078"/>
    <s v="2025-11-23"/>
    <x v="10"/>
    <n v="2025"/>
    <s v="Joe Mccarthy"/>
    <x v="3"/>
    <x v="3"/>
    <x v="11"/>
    <n v="5618.58"/>
    <n v="5"/>
    <n v="1679.88"/>
  </r>
  <r>
    <s v="ORD0079"/>
    <s v="2025-11-18"/>
    <x v="10"/>
    <n v="2025"/>
    <s v="Maria Horne"/>
    <x v="0"/>
    <x v="1"/>
    <x v="1"/>
    <n v="1927.12"/>
    <n v="7"/>
    <n v="231.29"/>
  </r>
  <r>
    <s v="ORD0080"/>
    <s v="2025-03-06"/>
    <x v="2"/>
    <n v="2025"/>
    <s v="Steven Roman"/>
    <x v="3"/>
    <x v="0"/>
    <x v="0"/>
    <n v="46277.760000000002"/>
    <n v="4"/>
    <n v="3197.52"/>
  </r>
  <r>
    <s v="ORD0081"/>
    <s v="2025-02-20"/>
    <x v="1"/>
    <n v="2025"/>
    <s v="Leslie Foster"/>
    <x v="1"/>
    <x v="0"/>
    <x v="14"/>
    <n v="4486.07"/>
    <n v="7"/>
    <n v="428.99"/>
  </r>
  <r>
    <s v="ORD0082"/>
    <s v="2025-09-17"/>
    <x v="5"/>
    <n v="2025"/>
    <s v="Darius Hill"/>
    <x v="5"/>
    <x v="1"/>
    <x v="7"/>
    <n v="38042.57"/>
    <n v="2"/>
    <n v="3210.76"/>
  </r>
  <r>
    <s v="ORD0083"/>
    <s v="2025-09-01"/>
    <x v="5"/>
    <n v="2025"/>
    <s v="Matthew Poole"/>
    <x v="1"/>
    <x v="0"/>
    <x v="14"/>
    <n v="38697.230000000003"/>
    <n v="8"/>
    <n v="7041.02"/>
  </r>
  <r>
    <s v="ORD0084"/>
    <s v="2025-10-09"/>
    <x v="3"/>
    <n v="2025"/>
    <s v="Susan White"/>
    <x v="6"/>
    <x v="3"/>
    <x v="15"/>
    <n v="46106.04"/>
    <n v="9"/>
    <n v="-1509.35"/>
  </r>
  <r>
    <s v="ORD0085"/>
    <s v="2025-04-29"/>
    <x v="9"/>
    <n v="2025"/>
    <s v="Judith Davis"/>
    <x v="6"/>
    <x v="1"/>
    <x v="7"/>
    <n v="42954.27"/>
    <n v="3"/>
    <n v="-1018.18"/>
  </r>
  <r>
    <s v="ORD0086"/>
    <s v="2025-11-01"/>
    <x v="10"/>
    <n v="2025"/>
    <s v="Christian Lee"/>
    <x v="4"/>
    <x v="1"/>
    <x v="1"/>
    <n v="42549.88"/>
    <n v="6"/>
    <n v="8878.33"/>
  </r>
  <r>
    <s v="ORD0087"/>
    <s v="2025-10-17"/>
    <x v="3"/>
    <n v="2025"/>
    <s v="Daniel Lopez"/>
    <x v="5"/>
    <x v="1"/>
    <x v="7"/>
    <n v="28531.11"/>
    <n v="8"/>
    <n v="5409.1"/>
  </r>
  <r>
    <s v="ORD0088"/>
    <s v="2025-03-25"/>
    <x v="2"/>
    <n v="2025"/>
    <s v="Timothy Clark"/>
    <x v="3"/>
    <x v="1"/>
    <x v="12"/>
    <n v="18058.59"/>
    <n v="4"/>
    <n v="-52.39"/>
  </r>
  <r>
    <s v="ORD0089"/>
    <s v="2025-05-22"/>
    <x v="4"/>
    <n v="2025"/>
    <s v="Jacob Atkins"/>
    <x v="4"/>
    <x v="3"/>
    <x v="13"/>
    <n v="40748.58"/>
    <n v="7"/>
    <n v="6558.37"/>
  </r>
  <r>
    <s v="ORD0090"/>
    <s v="2025-02-08"/>
    <x v="1"/>
    <n v="2025"/>
    <s v="Ann Dixon"/>
    <x v="4"/>
    <x v="1"/>
    <x v="12"/>
    <n v="22683.37"/>
    <n v="2"/>
    <n v="-666.66"/>
  </r>
  <r>
    <s v="ORD0091"/>
    <s v="2025-12-23"/>
    <x v="11"/>
    <n v="2025"/>
    <s v="Megan Farmer"/>
    <x v="2"/>
    <x v="3"/>
    <x v="18"/>
    <n v="21541.439999999999"/>
    <n v="6"/>
    <n v="2376.4699999999998"/>
  </r>
  <r>
    <s v="ORD0092"/>
    <s v="2025-10-02"/>
    <x v="3"/>
    <n v="2025"/>
    <s v="Nicholas Russell"/>
    <x v="2"/>
    <x v="3"/>
    <x v="18"/>
    <n v="25748.67"/>
    <n v="10"/>
    <n v="1841.95"/>
  </r>
  <r>
    <s v="ORD0093"/>
    <s v="2025-04-25"/>
    <x v="9"/>
    <n v="2025"/>
    <s v="Kenneth Fleming"/>
    <x v="3"/>
    <x v="2"/>
    <x v="2"/>
    <n v="49619.96"/>
    <n v="3"/>
    <n v="13169.17"/>
  </r>
  <r>
    <s v="ORD0094"/>
    <s v="2025-11-30"/>
    <x v="10"/>
    <n v="2025"/>
    <s v="Mr. Kevin Lindsey"/>
    <x v="5"/>
    <x v="3"/>
    <x v="6"/>
    <n v="30759.39"/>
    <n v="2"/>
    <n v="3581.17"/>
  </r>
  <r>
    <s v="ORD0095"/>
    <s v="2025-02-07"/>
    <x v="1"/>
    <n v="2025"/>
    <s v="David Chandler"/>
    <x v="0"/>
    <x v="3"/>
    <x v="15"/>
    <n v="10006.65"/>
    <n v="3"/>
    <n v="223.31"/>
  </r>
  <r>
    <s v="ORD0096"/>
    <s v="2025-11-28"/>
    <x v="10"/>
    <n v="2025"/>
    <s v="Amanda Blanchard"/>
    <x v="6"/>
    <x v="2"/>
    <x v="2"/>
    <n v="19980.34"/>
    <n v="1"/>
    <n v="3640.19"/>
  </r>
  <r>
    <s v="ORD0097"/>
    <s v="2025-05-10"/>
    <x v="4"/>
    <n v="2025"/>
    <s v="Joseph Kelly"/>
    <x v="4"/>
    <x v="3"/>
    <x v="13"/>
    <n v="28674.1"/>
    <n v="3"/>
    <n v="2.2400000000000002"/>
  </r>
  <r>
    <s v="ORD0098"/>
    <s v="2025-07-13"/>
    <x v="7"/>
    <n v="2025"/>
    <s v="Susan Vincent"/>
    <x v="3"/>
    <x v="3"/>
    <x v="13"/>
    <n v="27129.64"/>
    <n v="2"/>
    <n v="1714.65"/>
  </r>
  <r>
    <s v="ORD0099"/>
    <s v="2025-08-07"/>
    <x v="6"/>
    <n v="2025"/>
    <s v="Joseph Floyd"/>
    <x v="1"/>
    <x v="1"/>
    <x v="4"/>
    <n v="7908.33"/>
    <n v="10"/>
    <n v="-310.14"/>
  </r>
  <r>
    <s v="ORD0100"/>
    <s v="2025-11-25"/>
    <x v="10"/>
    <n v="2025"/>
    <s v="Mary Baldwin"/>
    <x v="4"/>
    <x v="3"/>
    <x v="18"/>
    <n v="18071.669999999998"/>
    <n v="7"/>
    <n v="3306.85"/>
  </r>
  <r>
    <s v="ORD0101"/>
    <s v="2025-05-16"/>
    <x v="4"/>
    <n v="2025"/>
    <s v="Karen Gonzalez"/>
    <x v="3"/>
    <x v="0"/>
    <x v="0"/>
    <n v="32593.61"/>
    <n v="6"/>
    <n v="-1545.76"/>
  </r>
  <r>
    <s v="ORD0102"/>
    <s v="2025-07-27"/>
    <x v="7"/>
    <n v="2025"/>
    <s v="Mark Horn"/>
    <x v="2"/>
    <x v="3"/>
    <x v="6"/>
    <n v="25743.09"/>
    <n v="10"/>
    <n v="771.07"/>
  </r>
  <r>
    <s v="ORD0103"/>
    <s v="2025-12-01"/>
    <x v="11"/>
    <n v="2025"/>
    <s v="Shawn Douglas"/>
    <x v="6"/>
    <x v="2"/>
    <x v="17"/>
    <n v="11540.43"/>
    <n v="1"/>
    <n v="1752.63"/>
  </r>
  <r>
    <s v="ORD0104"/>
    <s v="2025-10-28"/>
    <x v="3"/>
    <n v="2025"/>
    <s v="Kelly Kelly MD"/>
    <x v="4"/>
    <x v="0"/>
    <x v="0"/>
    <n v="49672.02"/>
    <n v="8"/>
    <n v="4059.47"/>
  </r>
  <r>
    <s v="ORD0105"/>
    <s v="2025-05-23"/>
    <x v="4"/>
    <n v="2025"/>
    <s v="Travis Armstrong"/>
    <x v="4"/>
    <x v="1"/>
    <x v="4"/>
    <n v="43877.47"/>
    <n v="6"/>
    <n v="2572.1999999999998"/>
  </r>
  <r>
    <s v="ORD0106"/>
    <s v="2025-03-13"/>
    <x v="2"/>
    <n v="2025"/>
    <s v="Vincent Smith"/>
    <x v="6"/>
    <x v="2"/>
    <x v="16"/>
    <n v="42000.51"/>
    <n v="6"/>
    <n v="9732.2199999999993"/>
  </r>
  <r>
    <s v="ORD0107"/>
    <s v="2025-06-05"/>
    <x v="0"/>
    <n v="2025"/>
    <s v="Garrett English"/>
    <x v="6"/>
    <x v="2"/>
    <x v="5"/>
    <n v="39072.949999999997"/>
    <n v="5"/>
    <n v="597.62"/>
  </r>
  <r>
    <s v="ORD0108"/>
    <s v="2025-08-17"/>
    <x v="6"/>
    <n v="2025"/>
    <s v="Rebecca Walls"/>
    <x v="1"/>
    <x v="0"/>
    <x v="9"/>
    <n v="25904.12"/>
    <n v="6"/>
    <n v="6962.93"/>
  </r>
  <r>
    <s v="ORD0109"/>
    <s v="2025-04-14"/>
    <x v="9"/>
    <n v="2025"/>
    <s v="Deborah Sellers"/>
    <x v="0"/>
    <x v="1"/>
    <x v="8"/>
    <n v="13102.17"/>
    <n v="6"/>
    <n v="2644.73"/>
  </r>
  <r>
    <s v="ORD0110"/>
    <s v="2025-03-27"/>
    <x v="2"/>
    <n v="2025"/>
    <s v="Xavier Nelson"/>
    <x v="0"/>
    <x v="1"/>
    <x v="1"/>
    <n v="9153.7900000000009"/>
    <n v="7"/>
    <n v="824.95"/>
  </r>
  <r>
    <s v="ORD0111"/>
    <s v="2025-04-11"/>
    <x v="9"/>
    <n v="2025"/>
    <s v="Tonya Walker"/>
    <x v="3"/>
    <x v="3"/>
    <x v="6"/>
    <n v="7925.55"/>
    <n v="10"/>
    <n v="-49.17"/>
  </r>
  <r>
    <s v="ORD0112"/>
    <s v="2025-08-03"/>
    <x v="6"/>
    <n v="2025"/>
    <s v="Christopher Short"/>
    <x v="6"/>
    <x v="0"/>
    <x v="3"/>
    <n v="36808.49"/>
    <n v="1"/>
    <n v="4749.6899999999996"/>
  </r>
  <r>
    <s v="ORD0113"/>
    <s v="2025-03-27"/>
    <x v="2"/>
    <n v="2025"/>
    <s v="Michelle Green"/>
    <x v="1"/>
    <x v="2"/>
    <x v="5"/>
    <n v="19509.52"/>
    <n v="8"/>
    <n v="1391.7"/>
  </r>
  <r>
    <s v="ORD0114"/>
    <s v="2025-12-19"/>
    <x v="11"/>
    <n v="2025"/>
    <s v="Nathan Higgins"/>
    <x v="4"/>
    <x v="2"/>
    <x v="2"/>
    <n v="39167.53"/>
    <n v="9"/>
    <n v="184.92"/>
  </r>
  <r>
    <s v="ORD0115"/>
    <s v="2025-03-26"/>
    <x v="2"/>
    <n v="2025"/>
    <s v="Deanna Gilbert"/>
    <x v="3"/>
    <x v="2"/>
    <x v="19"/>
    <n v="26714.76"/>
    <n v="5"/>
    <n v="5166.43"/>
  </r>
  <r>
    <s v="ORD0116"/>
    <s v="2025-04-17"/>
    <x v="9"/>
    <n v="2025"/>
    <s v="Jennifer Ramirez DVM"/>
    <x v="0"/>
    <x v="0"/>
    <x v="10"/>
    <n v="20249.990000000002"/>
    <n v="8"/>
    <n v="5354.63"/>
  </r>
  <r>
    <s v="ORD0117"/>
    <s v="2025-11-24"/>
    <x v="10"/>
    <n v="2025"/>
    <s v="Christopher Burke"/>
    <x v="0"/>
    <x v="1"/>
    <x v="7"/>
    <n v="24628.04"/>
    <n v="2"/>
    <n v="4234.99"/>
  </r>
  <r>
    <s v="ORD0118"/>
    <s v="2025-06-03"/>
    <x v="0"/>
    <n v="2025"/>
    <s v="Amy Dean"/>
    <x v="3"/>
    <x v="2"/>
    <x v="2"/>
    <n v="45864.69"/>
    <n v="9"/>
    <n v="10025.81"/>
  </r>
  <r>
    <s v="ORD0119"/>
    <s v="2025-10-16"/>
    <x v="3"/>
    <n v="2025"/>
    <s v="Brittany White"/>
    <x v="6"/>
    <x v="0"/>
    <x v="10"/>
    <n v="37335.620000000003"/>
    <n v="2"/>
    <n v="841.78"/>
  </r>
  <r>
    <s v="ORD0120"/>
    <s v="2025-09-14"/>
    <x v="5"/>
    <n v="2025"/>
    <s v="Edward Swanson"/>
    <x v="3"/>
    <x v="1"/>
    <x v="7"/>
    <n v="9096.5400000000009"/>
    <n v="8"/>
    <n v="922.01"/>
  </r>
  <r>
    <s v="ORD0121"/>
    <s v="2025-12-09"/>
    <x v="11"/>
    <n v="2025"/>
    <s v="Leslie Gray"/>
    <x v="3"/>
    <x v="3"/>
    <x v="15"/>
    <n v="46373.21"/>
    <n v="1"/>
    <n v="6101.86"/>
  </r>
  <r>
    <s v="ORD0122"/>
    <s v="2025-05-22"/>
    <x v="4"/>
    <n v="2025"/>
    <s v="Courtney Nolan"/>
    <x v="6"/>
    <x v="0"/>
    <x v="14"/>
    <n v="5052.47"/>
    <n v="9"/>
    <n v="1293.26"/>
  </r>
  <r>
    <s v="ORD0123"/>
    <s v="2025-09-23"/>
    <x v="5"/>
    <n v="2025"/>
    <s v="Megan Rogers"/>
    <x v="4"/>
    <x v="3"/>
    <x v="6"/>
    <n v="1514.99"/>
    <n v="4"/>
    <n v="242.32"/>
  </r>
  <r>
    <s v="ORD0124"/>
    <s v="2025-09-10"/>
    <x v="5"/>
    <n v="2025"/>
    <s v="Dawn Shepard"/>
    <x v="2"/>
    <x v="1"/>
    <x v="4"/>
    <n v="49299.34"/>
    <n v="1"/>
    <n v="3438.84"/>
  </r>
  <r>
    <s v="ORD0125"/>
    <s v="2025-08-17"/>
    <x v="6"/>
    <n v="2025"/>
    <s v="Alexander Mccarthy"/>
    <x v="1"/>
    <x v="3"/>
    <x v="18"/>
    <n v="49083.67"/>
    <n v="4"/>
    <n v="2282.23"/>
  </r>
  <r>
    <s v="ORD0126"/>
    <s v="2025-01-01"/>
    <x v="8"/>
    <n v="2025"/>
    <s v="Joe Smith"/>
    <x v="5"/>
    <x v="3"/>
    <x v="18"/>
    <n v="32234.16"/>
    <n v="9"/>
    <n v="3061"/>
  </r>
  <r>
    <s v="ORD0127"/>
    <s v="2025-12-28"/>
    <x v="11"/>
    <n v="2025"/>
    <s v="Michael Larson"/>
    <x v="4"/>
    <x v="2"/>
    <x v="16"/>
    <n v="33861.629999999997"/>
    <n v="7"/>
    <n v="2155.25"/>
  </r>
  <r>
    <s v="ORD0128"/>
    <s v="2025-02-19"/>
    <x v="1"/>
    <n v="2025"/>
    <s v="Richard Bradshaw"/>
    <x v="6"/>
    <x v="3"/>
    <x v="11"/>
    <n v="17877.259999999998"/>
    <n v="9"/>
    <n v="2244.6"/>
  </r>
  <r>
    <s v="ORD0129"/>
    <s v="2025-05-28"/>
    <x v="4"/>
    <n v="2025"/>
    <s v="Victor Peterson"/>
    <x v="3"/>
    <x v="1"/>
    <x v="12"/>
    <n v="25405.58"/>
    <n v="2"/>
    <n v="1692.18"/>
  </r>
  <r>
    <s v="ORD0130"/>
    <s v="2025-03-21"/>
    <x v="2"/>
    <n v="2025"/>
    <s v="Emily Sexton"/>
    <x v="0"/>
    <x v="2"/>
    <x v="17"/>
    <n v="14280.85"/>
    <n v="4"/>
    <n v="3688.54"/>
  </r>
  <r>
    <s v="ORD0131"/>
    <s v="2025-06-13"/>
    <x v="0"/>
    <n v="2025"/>
    <s v="Janice Murray"/>
    <x v="0"/>
    <x v="1"/>
    <x v="7"/>
    <n v="23032.32"/>
    <n v="10"/>
    <n v="2734.5"/>
  </r>
  <r>
    <s v="ORD0132"/>
    <s v="2025-10-22"/>
    <x v="3"/>
    <n v="2025"/>
    <s v="Mrs. Misty White MD"/>
    <x v="6"/>
    <x v="0"/>
    <x v="3"/>
    <n v="15856.54"/>
    <n v="4"/>
    <n v="4100.6000000000004"/>
  </r>
  <r>
    <s v="ORD0133"/>
    <s v="2025-07-21"/>
    <x v="7"/>
    <n v="2025"/>
    <s v="Brittany Marshall"/>
    <x v="1"/>
    <x v="2"/>
    <x v="2"/>
    <n v="8886.99"/>
    <n v="8"/>
    <n v="-310.14999999999998"/>
  </r>
  <r>
    <s v="ORD0134"/>
    <s v="2025-07-15"/>
    <x v="7"/>
    <n v="2025"/>
    <s v="Nicholas Jones"/>
    <x v="2"/>
    <x v="1"/>
    <x v="8"/>
    <n v="35310.080000000002"/>
    <n v="9"/>
    <n v="9047.2000000000007"/>
  </r>
  <r>
    <s v="ORD0135"/>
    <s v="2025-08-19"/>
    <x v="6"/>
    <n v="2025"/>
    <s v="Terri Cruz"/>
    <x v="0"/>
    <x v="1"/>
    <x v="8"/>
    <n v="5374.88"/>
    <n v="10"/>
    <n v="-136.21"/>
  </r>
  <r>
    <s v="ORD0136"/>
    <s v="2025-12-12"/>
    <x v="11"/>
    <n v="2025"/>
    <s v="Samuel Compton"/>
    <x v="0"/>
    <x v="3"/>
    <x v="15"/>
    <n v="1914.38"/>
    <n v="10"/>
    <n v="291.43"/>
  </r>
  <r>
    <s v="ORD0137"/>
    <s v="2025-08-22"/>
    <x v="6"/>
    <n v="2025"/>
    <s v="Colleen Rodriguez"/>
    <x v="1"/>
    <x v="3"/>
    <x v="6"/>
    <n v="44517.83"/>
    <n v="5"/>
    <n v="4339.82"/>
  </r>
  <r>
    <s v="ORD0138"/>
    <s v="2025-12-31"/>
    <x v="11"/>
    <n v="2025"/>
    <s v="John Chandler"/>
    <x v="4"/>
    <x v="0"/>
    <x v="14"/>
    <n v="23240.45"/>
    <n v="6"/>
    <n v="5006.5"/>
  </r>
  <r>
    <s v="ORD0139"/>
    <s v="2025-02-13"/>
    <x v="1"/>
    <n v="2025"/>
    <s v="Kayla Sanchez"/>
    <x v="2"/>
    <x v="3"/>
    <x v="11"/>
    <n v="18380.22"/>
    <n v="7"/>
    <n v="1974.27"/>
  </r>
  <r>
    <s v="ORD0140"/>
    <s v="2025-12-07"/>
    <x v="11"/>
    <n v="2025"/>
    <s v="Jaime Bond"/>
    <x v="5"/>
    <x v="3"/>
    <x v="15"/>
    <n v="47611.94"/>
    <n v="5"/>
    <n v="0.41"/>
  </r>
  <r>
    <s v="ORD0141"/>
    <s v="2025-05-26"/>
    <x v="4"/>
    <n v="2025"/>
    <s v="Krista Garcia"/>
    <x v="6"/>
    <x v="3"/>
    <x v="6"/>
    <n v="14448.96"/>
    <n v="4"/>
    <n v="4210.37"/>
  </r>
  <r>
    <s v="ORD0142"/>
    <s v="2025-01-26"/>
    <x v="8"/>
    <n v="2025"/>
    <s v="Samuel Brown"/>
    <x v="2"/>
    <x v="2"/>
    <x v="17"/>
    <n v="15604.38"/>
    <n v="1"/>
    <n v="2614.5700000000002"/>
  </r>
  <r>
    <s v="ORD0143"/>
    <s v="2025-01-17"/>
    <x v="8"/>
    <n v="2025"/>
    <s v="Ashley Villanueva"/>
    <x v="4"/>
    <x v="3"/>
    <x v="13"/>
    <n v="13066.19"/>
    <n v="4"/>
    <n v="568.71"/>
  </r>
  <r>
    <s v="ORD0144"/>
    <s v="2025-10-28"/>
    <x v="3"/>
    <n v="2025"/>
    <s v="Stephen Fowler"/>
    <x v="1"/>
    <x v="3"/>
    <x v="18"/>
    <n v="17827.810000000001"/>
    <n v="8"/>
    <n v="3663.81"/>
  </r>
  <r>
    <s v="ORD0145"/>
    <s v="2025-02-07"/>
    <x v="1"/>
    <n v="2025"/>
    <s v="Kyle Martinez"/>
    <x v="4"/>
    <x v="0"/>
    <x v="9"/>
    <n v="20197.45"/>
    <n v="10"/>
    <n v="605.32000000000005"/>
  </r>
  <r>
    <s v="ORD0146"/>
    <s v="2025-09-06"/>
    <x v="5"/>
    <n v="2025"/>
    <s v="Cindy Barnes"/>
    <x v="2"/>
    <x v="2"/>
    <x v="16"/>
    <n v="14037.74"/>
    <n v="5"/>
    <n v="719.6"/>
  </r>
  <r>
    <s v="ORD0147"/>
    <s v="2025-08-19"/>
    <x v="6"/>
    <n v="2025"/>
    <s v="Karen Wood"/>
    <x v="4"/>
    <x v="3"/>
    <x v="6"/>
    <n v="8315.0499999999993"/>
    <n v="9"/>
    <n v="1166.8900000000001"/>
  </r>
  <r>
    <s v="ORD0148"/>
    <s v="2025-05-30"/>
    <x v="4"/>
    <n v="2025"/>
    <s v="Holly Jenkins"/>
    <x v="0"/>
    <x v="2"/>
    <x v="19"/>
    <n v="45153.74"/>
    <n v="5"/>
    <n v="3013.06"/>
  </r>
  <r>
    <s v="ORD0149"/>
    <s v="2025-02-27"/>
    <x v="1"/>
    <n v="2025"/>
    <s v="Amy Rose"/>
    <x v="2"/>
    <x v="0"/>
    <x v="3"/>
    <n v="38584.71"/>
    <n v="5"/>
    <n v="7925.83"/>
  </r>
  <r>
    <s v="ORD0150"/>
    <s v="2025-12-27"/>
    <x v="11"/>
    <n v="2025"/>
    <s v="Lisa Moran"/>
    <x v="2"/>
    <x v="0"/>
    <x v="3"/>
    <n v="30390.080000000002"/>
    <n v="5"/>
    <n v="3691.91"/>
  </r>
  <r>
    <s v="ORD0151"/>
    <s v="2025-01-04"/>
    <x v="8"/>
    <n v="2025"/>
    <s v="Joseph Berry"/>
    <x v="5"/>
    <x v="2"/>
    <x v="17"/>
    <n v="47171.99"/>
    <n v="4"/>
    <n v="12344.53"/>
  </r>
  <r>
    <s v="ORD0152"/>
    <s v="2025-11-18"/>
    <x v="10"/>
    <n v="2025"/>
    <s v="Jo Davis"/>
    <x v="2"/>
    <x v="3"/>
    <x v="15"/>
    <n v="37423.279999999999"/>
    <n v="3"/>
    <n v="290.87"/>
  </r>
  <r>
    <s v="ORD0153"/>
    <s v="2025-02-27"/>
    <x v="1"/>
    <n v="2025"/>
    <s v="Lisa Nelson"/>
    <x v="0"/>
    <x v="0"/>
    <x v="0"/>
    <n v="9994.2199999999993"/>
    <n v="9"/>
    <n v="685.21"/>
  </r>
  <r>
    <s v="ORD0154"/>
    <s v="2025-09-01"/>
    <x v="5"/>
    <n v="2025"/>
    <s v="Cheryl Carter"/>
    <x v="2"/>
    <x v="0"/>
    <x v="14"/>
    <n v="27971.65"/>
    <n v="7"/>
    <n v="321.98"/>
  </r>
  <r>
    <s v="ORD0155"/>
    <s v="2025-12-31"/>
    <x v="11"/>
    <n v="2025"/>
    <s v="Kenneth Burch"/>
    <x v="3"/>
    <x v="2"/>
    <x v="19"/>
    <n v="24029.15"/>
    <n v="5"/>
    <n v="4628.93"/>
  </r>
  <r>
    <s v="ORD0156"/>
    <s v="2025-07-03"/>
    <x v="7"/>
    <n v="2025"/>
    <s v="Kimberly Smith"/>
    <x v="5"/>
    <x v="0"/>
    <x v="0"/>
    <n v="28570.5"/>
    <n v="6"/>
    <n v="3391.44"/>
  </r>
  <r>
    <s v="ORD0157"/>
    <s v="2025-03-18"/>
    <x v="2"/>
    <n v="2025"/>
    <s v="Virginia Frey"/>
    <x v="5"/>
    <x v="0"/>
    <x v="3"/>
    <n v="44964.13"/>
    <n v="2"/>
    <n v="10718.88"/>
  </r>
  <r>
    <s v="ORD0158"/>
    <s v="2025-10-18"/>
    <x v="3"/>
    <n v="2025"/>
    <s v="Jeffrey Lopez"/>
    <x v="0"/>
    <x v="1"/>
    <x v="1"/>
    <n v="46368.65"/>
    <n v="5"/>
    <n v="6532.36"/>
  </r>
  <r>
    <s v="ORD0159"/>
    <s v="2025-08-12"/>
    <x v="6"/>
    <n v="2025"/>
    <s v="Jason Goodman"/>
    <x v="6"/>
    <x v="3"/>
    <x v="13"/>
    <n v="13690.09"/>
    <n v="3"/>
    <n v="2281.6999999999998"/>
  </r>
  <r>
    <s v="ORD0160"/>
    <s v="2025-12-28"/>
    <x v="11"/>
    <n v="2025"/>
    <s v="Thomas James"/>
    <x v="2"/>
    <x v="0"/>
    <x v="14"/>
    <n v="47831.61"/>
    <n v="3"/>
    <n v="-2139.8200000000002"/>
  </r>
  <r>
    <s v="ORD0161"/>
    <s v="2025-02-02"/>
    <x v="1"/>
    <n v="2025"/>
    <s v="Carolyn Fisher"/>
    <x v="2"/>
    <x v="3"/>
    <x v="13"/>
    <n v="28535.37"/>
    <n v="1"/>
    <n v="1189.03"/>
  </r>
  <r>
    <s v="ORD0162"/>
    <s v="2025-02-23"/>
    <x v="1"/>
    <n v="2025"/>
    <s v="Anthony Gibson"/>
    <x v="0"/>
    <x v="0"/>
    <x v="9"/>
    <n v="1322.09"/>
    <n v="2"/>
    <n v="-48.84"/>
  </r>
  <r>
    <s v="ORD0163"/>
    <s v="2025-07-14"/>
    <x v="7"/>
    <n v="2025"/>
    <s v="James Collier"/>
    <x v="3"/>
    <x v="1"/>
    <x v="12"/>
    <n v="37729.379999999997"/>
    <n v="8"/>
    <n v="1168.1199999999999"/>
  </r>
  <r>
    <s v="ORD0164"/>
    <s v="2025-12-25"/>
    <x v="11"/>
    <n v="2025"/>
    <s v="Timothy Scott"/>
    <x v="5"/>
    <x v="3"/>
    <x v="13"/>
    <n v="47084.800000000003"/>
    <n v="7"/>
    <n v="13028.08"/>
  </r>
  <r>
    <s v="ORD0165"/>
    <s v="2025-10-30"/>
    <x v="3"/>
    <n v="2025"/>
    <s v="Kevin Patterson"/>
    <x v="2"/>
    <x v="0"/>
    <x v="14"/>
    <n v="14183.66"/>
    <n v="6"/>
    <n v="1059.1400000000001"/>
  </r>
  <r>
    <s v="ORD0166"/>
    <s v="2025-07-23"/>
    <x v="7"/>
    <n v="2025"/>
    <s v="Margaret Curtis"/>
    <x v="1"/>
    <x v="1"/>
    <x v="4"/>
    <n v="21499.77"/>
    <n v="10"/>
    <n v="223.64"/>
  </r>
  <r>
    <s v="ORD0167"/>
    <s v="2025-11-19"/>
    <x v="10"/>
    <n v="2025"/>
    <s v="Melissa Davis"/>
    <x v="4"/>
    <x v="2"/>
    <x v="2"/>
    <n v="30754.51"/>
    <n v="5"/>
    <n v="7230.82"/>
  </r>
  <r>
    <s v="ORD0168"/>
    <s v="2025-04-10"/>
    <x v="9"/>
    <n v="2025"/>
    <s v="Ryan Merritt"/>
    <x v="1"/>
    <x v="0"/>
    <x v="14"/>
    <n v="19224.05"/>
    <n v="5"/>
    <n v="4303.75"/>
  </r>
  <r>
    <s v="ORD0169"/>
    <s v="2025-12-08"/>
    <x v="11"/>
    <n v="2025"/>
    <s v="Morgan Myers"/>
    <x v="1"/>
    <x v="2"/>
    <x v="16"/>
    <n v="1534.16"/>
    <n v="7"/>
    <n v="433.29"/>
  </r>
  <r>
    <s v="ORD0170"/>
    <s v="2025-01-20"/>
    <x v="8"/>
    <n v="2025"/>
    <s v="Kelly Rogers"/>
    <x v="6"/>
    <x v="0"/>
    <x v="10"/>
    <n v="30432.62"/>
    <n v="3"/>
    <n v="1125.9000000000001"/>
  </r>
  <r>
    <s v="ORD0171"/>
    <s v="2025-12-01"/>
    <x v="11"/>
    <n v="2025"/>
    <s v="Susan Austin"/>
    <x v="6"/>
    <x v="1"/>
    <x v="1"/>
    <n v="6237.04"/>
    <n v="8"/>
    <n v="117.46"/>
  </r>
  <r>
    <s v="ORD0172"/>
    <s v="2025-11-25"/>
    <x v="10"/>
    <n v="2025"/>
    <s v="Jesse Ellis"/>
    <x v="6"/>
    <x v="2"/>
    <x v="5"/>
    <n v="20928.68"/>
    <n v="4"/>
    <n v="6244.46"/>
  </r>
  <r>
    <s v="ORD0173"/>
    <s v="2025-12-30"/>
    <x v="11"/>
    <n v="2025"/>
    <s v="Leslie Bright"/>
    <x v="4"/>
    <x v="3"/>
    <x v="18"/>
    <n v="28762.39"/>
    <n v="8"/>
    <n v="611.84"/>
  </r>
  <r>
    <s v="ORD0174"/>
    <s v="2025-01-07"/>
    <x v="8"/>
    <n v="2025"/>
    <s v="Karen Gutierrez"/>
    <x v="3"/>
    <x v="1"/>
    <x v="4"/>
    <n v="40617.86"/>
    <n v="9"/>
    <n v="10402.34"/>
  </r>
  <r>
    <s v="ORD0175"/>
    <s v="2025-06-07"/>
    <x v="0"/>
    <n v="2025"/>
    <s v="Jacob Gutierrez"/>
    <x v="6"/>
    <x v="1"/>
    <x v="12"/>
    <n v="36185.49"/>
    <n v="1"/>
    <n v="2378.44"/>
  </r>
  <r>
    <s v="ORD0176"/>
    <s v="2025-05-27"/>
    <x v="4"/>
    <n v="2025"/>
    <s v="Andrew Johnson"/>
    <x v="2"/>
    <x v="3"/>
    <x v="13"/>
    <n v="10844.71"/>
    <n v="6"/>
    <n v="765.86"/>
  </r>
  <r>
    <s v="ORD0177"/>
    <s v="2025-08-02"/>
    <x v="6"/>
    <n v="2025"/>
    <s v="Joel Roy"/>
    <x v="2"/>
    <x v="2"/>
    <x v="19"/>
    <n v="16153.6"/>
    <n v="1"/>
    <n v="4411.16"/>
  </r>
  <r>
    <s v="ORD0178"/>
    <s v="2025-04-15"/>
    <x v="9"/>
    <n v="2025"/>
    <s v="Gabriel Garrett"/>
    <x v="2"/>
    <x v="0"/>
    <x v="3"/>
    <n v="34731.65"/>
    <n v="9"/>
    <n v="3332.66"/>
  </r>
  <r>
    <s v="ORD0179"/>
    <s v="2025-03-08"/>
    <x v="2"/>
    <n v="2025"/>
    <s v="Monica Bowman"/>
    <x v="3"/>
    <x v="2"/>
    <x v="2"/>
    <n v="13006.35"/>
    <n v="4"/>
    <n v="-95.66"/>
  </r>
  <r>
    <s v="ORD0180"/>
    <s v="2025-08-27"/>
    <x v="6"/>
    <n v="2025"/>
    <s v="Sarah Jackson"/>
    <x v="5"/>
    <x v="3"/>
    <x v="11"/>
    <n v="35632.559999999998"/>
    <n v="4"/>
    <n v="-179.68"/>
  </r>
  <r>
    <s v="ORD0181"/>
    <s v="2025-06-20"/>
    <x v="0"/>
    <n v="2025"/>
    <s v="Robert Henderson"/>
    <x v="5"/>
    <x v="2"/>
    <x v="17"/>
    <n v="39161.480000000003"/>
    <n v="7"/>
    <n v="6182.63"/>
  </r>
  <r>
    <s v="ORD0182"/>
    <s v="2025-12-07"/>
    <x v="11"/>
    <n v="2025"/>
    <s v="Joshua Chandler"/>
    <x v="4"/>
    <x v="1"/>
    <x v="8"/>
    <n v="42853.93"/>
    <n v="4"/>
    <n v="3119.84"/>
  </r>
  <r>
    <s v="ORD0183"/>
    <s v="2025-12-28"/>
    <x v="11"/>
    <n v="2025"/>
    <s v="Alyssa Moore"/>
    <x v="1"/>
    <x v="1"/>
    <x v="12"/>
    <n v="47221.42"/>
    <n v="3"/>
    <n v="-1267.95"/>
  </r>
  <r>
    <s v="ORD0184"/>
    <s v="2025-07-09"/>
    <x v="7"/>
    <n v="2025"/>
    <s v="Traci Black"/>
    <x v="6"/>
    <x v="0"/>
    <x v="3"/>
    <n v="20354.57"/>
    <n v="4"/>
    <n v="3340.24"/>
  </r>
  <r>
    <s v="ORD0185"/>
    <s v="2025-12-08"/>
    <x v="11"/>
    <n v="2025"/>
    <s v="Matthew Allen"/>
    <x v="5"/>
    <x v="2"/>
    <x v="17"/>
    <n v="1432.8"/>
    <n v="10"/>
    <n v="180.19"/>
  </r>
  <r>
    <s v="ORD0186"/>
    <s v="2025-07-06"/>
    <x v="7"/>
    <n v="2025"/>
    <s v="Dustin Dixon"/>
    <x v="5"/>
    <x v="3"/>
    <x v="18"/>
    <n v="46639.78"/>
    <n v="4"/>
    <n v="9435.02"/>
  </r>
  <r>
    <s v="ORD0187"/>
    <s v="2025-08-03"/>
    <x v="6"/>
    <n v="2025"/>
    <s v="Leah Perez"/>
    <x v="5"/>
    <x v="3"/>
    <x v="11"/>
    <n v="5200.41"/>
    <n v="4"/>
    <n v="1387.31"/>
  </r>
  <r>
    <s v="ORD0188"/>
    <s v="2025-06-05"/>
    <x v="0"/>
    <n v="2025"/>
    <s v="Michael Lawson"/>
    <x v="4"/>
    <x v="1"/>
    <x v="1"/>
    <n v="33705.32"/>
    <n v="9"/>
    <n v="8130.76"/>
  </r>
  <r>
    <s v="ORD0189"/>
    <s v="2025-10-11"/>
    <x v="3"/>
    <n v="2025"/>
    <s v="John Hanson"/>
    <x v="5"/>
    <x v="3"/>
    <x v="13"/>
    <n v="42637.440000000002"/>
    <n v="7"/>
    <n v="8249.74"/>
  </r>
  <r>
    <s v="ORD0190"/>
    <s v="2025-12-03"/>
    <x v="11"/>
    <n v="2025"/>
    <s v="Karen Page"/>
    <x v="1"/>
    <x v="2"/>
    <x v="16"/>
    <n v="3522.48"/>
    <n v="5"/>
    <n v="-15.32"/>
  </r>
  <r>
    <s v="ORD0191"/>
    <s v="2025-11-27"/>
    <x v="10"/>
    <n v="2025"/>
    <s v="Jonathan Larson"/>
    <x v="0"/>
    <x v="1"/>
    <x v="4"/>
    <n v="2667.44"/>
    <n v="1"/>
    <n v="670.38"/>
  </r>
  <r>
    <s v="ORD0192"/>
    <s v="2025-03-03"/>
    <x v="2"/>
    <n v="2025"/>
    <s v="Keith Martinez"/>
    <x v="1"/>
    <x v="1"/>
    <x v="12"/>
    <n v="4474.74"/>
    <n v="10"/>
    <n v="1166.28"/>
  </r>
  <r>
    <s v="ORD0193"/>
    <s v="2025-09-11"/>
    <x v="5"/>
    <n v="2025"/>
    <s v="Kimberly Thompson"/>
    <x v="0"/>
    <x v="2"/>
    <x v="19"/>
    <n v="8718.27"/>
    <n v="10"/>
    <n v="2369.66"/>
  </r>
  <r>
    <s v="ORD0194"/>
    <s v="2025-09-23"/>
    <x v="5"/>
    <n v="2025"/>
    <s v="Donald Newman"/>
    <x v="3"/>
    <x v="1"/>
    <x v="8"/>
    <n v="47925.48"/>
    <n v="2"/>
    <n v="12643.89"/>
  </r>
  <r>
    <s v="ORD0195"/>
    <s v="2025-07-06"/>
    <x v="7"/>
    <n v="2025"/>
    <s v="Laura Hunt"/>
    <x v="5"/>
    <x v="3"/>
    <x v="13"/>
    <n v="17612.830000000002"/>
    <n v="6"/>
    <n v="-132.71"/>
  </r>
  <r>
    <s v="ORD0196"/>
    <s v="2025-06-23"/>
    <x v="0"/>
    <n v="2025"/>
    <s v="Rodney Graham"/>
    <x v="2"/>
    <x v="2"/>
    <x v="5"/>
    <n v="11205.87"/>
    <n v="8"/>
    <n v="2511.58"/>
  </r>
  <r>
    <s v="ORD0197"/>
    <s v="2025-02-11"/>
    <x v="1"/>
    <n v="2025"/>
    <s v="Ashley Lucas"/>
    <x v="0"/>
    <x v="2"/>
    <x v="17"/>
    <n v="30127.07"/>
    <n v="1"/>
    <n v="3153.85"/>
  </r>
  <r>
    <s v="ORD0198"/>
    <s v="2025-01-18"/>
    <x v="8"/>
    <n v="2025"/>
    <s v="Sara Dean"/>
    <x v="3"/>
    <x v="1"/>
    <x v="12"/>
    <n v="31311.55"/>
    <n v="1"/>
    <n v="4474.8500000000004"/>
  </r>
  <r>
    <s v="ORD0199"/>
    <s v="2025-01-16"/>
    <x v="8"/>
    <n v="2025"/>
    <s v="Craig Bailey"/>
    <x v="4"/>
    <x v="2"/>
    <x v="5"/>
    <n v="42525.19"/>
    <n v="10"/>
    <n v="11257.43"/>
  </r>
  <r>
    <s v="ORD0200"/>
    <s v="2025-04-28"/>
    <x v="9"/>
    <n v="2025"/>
    <s v="Tony West"/>
    <x v="5"/>
    <x v="2"/>
    <x v="5"/>
    <n v="35262.6"/>
    <n v="4"/>
    <n v="6131.61"/>
  </r>
  <r>
    <s v="ORD0201"/>
    <s v="2025-03-19"/>
    <x v="2"/>
    <n v="2025"/>
    <s v="Makayla Chen"/>
    <x v="6"/>
    <x v="0"/>
    <x v="3"/>
    <n v="47370.239999999998"/>
    <n v="7"/>
    <n v="463.41"/>
  </r>
  <r>
    <s v="ORD0202"/>
    <s v="2025-06-28"/>
    <x v="0"/>
    <n v="2025"/>
    <s v="Rebecca Golden"/>
    <x v="4"/>
    <x v="3"/>
    <x v="11"/>
    <n v="12785.32"/>
    <n v="6"/>
    <n v="2664.91"/>
  </r>
  <r>
    <s v="ORD0203"/>
    <s v="2025-12-21"/>
    <x v="11"/>
    <n v="2025"/>
    <s v="Ashley Rivera"/>
    <x v="6"/>
    <x v="0"/>
    <x v="14"/>
    <n v="4754.76"/>
    <n v="2"/>
    <n v="928"/>
  </r>
  <r>
    <s v="ORD0204"/>
    <s v="2025-10-12"/>
    <x v="3"/>
    <n v="2025"/>
    <s v="Raymond Perez"/>
    <x v="1"/>
    <x v="0"/>
    <x v="0"/>
    <n v="16603.349999999999"/>
    <n v="8"/>
    <n v="4316.91"/>
  </r>
  <r>
    <s v="ORD0205"/>
    <s v="2025-09-14"/>
    <x v="5"/>
    <n v="2025"/>
    <s v="Jennifer Sanford"/>
    <x v="1"/>
    <x v="3"/>
    <x v="11"/>
    <n v="47045.88"/>
    <n v="1"/>
    <n v="5902.9"/>
  </r>
  <r>
    <s v="ORD0206"/>
    <s v="2025-01-28"/>
    <x v="8"/>
    <n v="2025"/>
    <s v="Matthew Reese"/>
    <x v="3"/>
    <x v="0"/>
    <x v="3"/>
    <n v="13162.48"/>
    <n v="4"/>
    <n v="3293.38"/>
  </r>
  <r>
    <s v="ORD0207"/>
    <s v="2025-08-29"/>
    <x v="6"/>
    <n v="2025"/>
    <s v="Renee Mathis"/>
    <x v="0"/>
    <x v="3"/>
    <x v="13"/>
    <n v="40801.599999999999"/>
    <n v="4"/>
    <n v="8239.32"/>
  </r>
  <r>
    <s v="ORD0208"/>
    <s v="2025-05-01"/>
    <x v="4"/>
    <n v="2025"/>
    <s v="Johnathan Brady"/>
    <x v="4"/>
    <x v="3"/>
    <x v="6"/>
    <n v="13734.3"/>
    <n v="10"/>
    <n v="3735.83"/>
  </r>
  <r>
    <s v="ORD0209"/>
    <s v="2025-03-02"/>
    <x v="2"/>
    <n v="2025"/>
    <s v="Kyle Miller"/>
    <x v="6"/>
    <x v="2"/>
    <x v="5"/>
    <n v="26708.53"/>
    <n v="1"/>
    <n v="-1287.75"/>
  </r>
  <r>
    <s v="ORD0210"/>
    <s v="2025-12-19"/>
    <x v="11"/>
    <n v="2025"/>
    <s v="Jonathon Roman"/>
    <x v="0"/>
    <x v="3"/>
    <x v="6"/>
    <n v="3639.24"/>
    <n v="6"/>
    <n v="479.48"/>
  </r>
  <r>
    <s v="ORD0211"/>
    <s v="2025-11-10"/>
    <x v="10"/>
    <n v="2025"/>
    <s v="Amber Ruiz"/>
    <x v="0"/>
    <x v="0"/>
    <x v="9"/>
    <n v="44445.440000000002"/>
    <n v="5"/>
    <n v="13161.37"/>
  </r>
  <r>
    <s v="ORD0212"/>
    <s v="2025-05-22"/>
    <x v="4"/>
    <n v="2025"/>
    <s v="Erika English"/>
    <x v="5"/>
    <x v="1"/>
    <x v="8"/>
    <n v="45945.21"/>
    <n v="3"/>
    <n v="-1205.97"/>
  </r>
  <r>
    <s v="ORD0213"/>
    <s v="2025-07-04"/>
    <x v="7"/>
    <n v="2025"/>
    <s v="Tina Clarke"/>
    <x v="5"/>
    <x v="3"/>
    <x v="6"/>
    <n v="28404.959999999999"/>
    <n v="9"/>
    <n v="2575.2800000000002"/>
  </r>
  <r>
    <s v="ORD0214"/>
    <s v="2025-02-25"/>
    <x v="1"/>
    <n v="2025"/>
    <s v="Tina Harvey"/>
    <x v="6"/>
    <x v="2"/>
    <x v="2"/>
    <n v="35241.49"/>
    <n v="1"/>
    <n v="3049.39"/>
  </r>
  <r>
    <s v="ORD0215"/>
    <s v="2025-11-30"/>
    <x v="10"/>
    <n v="2025"/>
    <s v="Jessica Goodman"/>
    <x v="3"/>
    <x v="3"/>
    <x v="6"/>
    <n v="37701.050000000003"/>
    <n v="3"/>
    <n v="9725"/>
  </r>
  <r>
    <s v="ORD0216"/>
    <s v="2025-07-03"/>
    <x v="7"/>
    <n v="2025"/>
    <s v="Kelly Wilson"/>
    <x v="4"/>
    <x v="3"/>
    <x v="13"/>
    <n v="14892.9"/>
    <n v="10"/>
    <n v="1950.82"/>
  </r>
  <r>
    <s v="ORD0217"/>
    <s v="2025-02-01"/>
    <x v="1"/>
    <n v="2025"/>
    <s v="David Cline MD"/>
    <x v="2"/>
    <x v="0"/>
    <x v="0"/>
    <n v="38973.760000000002"/>
    <n v="4"/>
    <n v="4258.54"/>
  </r>
  <r>
    <s v="ORD0218"/>
    <s v="2025-09-17"/>
    <x v="5"/>
    <n v="2025"/>
    <s v="Brenda Gutierrez"/>
    <x v="3"/>
    <x v="2"/>
    <x v="2"/>
    <n v="39239.58"/>
    <n v="7"/>
    <n v="1132.1099999999999"/>
  </r>
  <r>
    <s v="ORD0219"/>
    <s v="2025-10-30"/>
    <x v="3"/>
    <n v="2025"/>
    <s v="Joe Macdonald"/>
    <x v="0"/>
    <x v="1"/>
    <x v="8"/>
    <n v="45400.73"/>
    <n v="2"/>
    <n v="-1263.6500000000001"/>
  </r>
  <r>
    <s v="ORD0220"/>
    <s v="2025-10-24"/>
    <x v="3"/>
    <n v="2025"/>
    <s v="Sandra Snyder"/>
    <x v="5"/>
    <x v="3"/>
    <x v="6"/>
    <n v="2183.9499999999998"/>
    <n v="7"/>
    <n v="-65.98"/>
  </r>
  <r>
    <s v="ORD0221"/>
    <s v="2025-12-22"/>
    <x v="11"/>
    <n v="2025"/>
    <s v="William Sanchez"/>
    <x v="0"/>
    <x v="1"/>
    <x v="7"/>
    <n v="37759.21"/>
    <n v="8"/>
    <n v="4006.84"/>
  </r>
  <r>
    <s v="ORD0222"/>
    <s v="2025-06-06"/>
    <x v="0"/>
    <n v="2025"/>
    <s v="Madeline Webb"/>
    <x v="5"/>
    <x v="2"/>
    <x v="17"/>
    <n v="27604.28"/>
    <n v="1"/>
    <n v="370.59"/>
  </r>
  <r>
    <s v="ORD0223"/>
    <s v="2025-01-12"/>
    <x v="8"/>
    <n v="2025"/>
    <s v="Ryan Adams"/>
    <x v="0"/>
    <x v="0"/>
    <x v="10"/>
    <n v="25178.45"/>
    <n v="5"/>
    <n v="-756.14"/>
  </r>
  <r>
    <s v="ORD0224"/>
    <s v="2025-07-22"/>
    <x v="7"/>
    <n v="2025"/>
    <s v="Andrea Alvarado"/>
    <x v="1"/>
    <x v="3"/>
    <x v="18"/>
    <n v="26479.34"/>
    <n v="10"/>
    <n v="4287.1400000000003"/>
  </r>
  <r>
    <s v="ORD0225"/>
    <s v="2025-01-14"/>
    <x v="8"/>
    <n v="2025"/>
    <s v="Rachael Fleming"/>
    <x v="3"/>
    <x v="2"/>
    <x v="2"/>
    <n v="12261"/>
    <n v="10"/>
    <n v="2546.2600000000002"/>
  </r>
  <r>
    <s v="ORD0226"/>
    <s v="2025-10-16"/>
    <x v="3"/>
    <n v="2025"/>
    <s v="Bethany Dillon"/>
    <x v="4"/>
    <x v="3"/>
    <x v="15"/>
    <n v="33920.370000000003"/>
    <n v="10"/>
    <n v="479.66"/>
  </r>
  <r>
    <s v="ORD0227"/>
    <s v="2025-03-22"/>
    <x v="2"/>
    <n v="2025"/>
    <s v="Mr. David Lopez DVM"/>
    <x v="4"/>
    <x v="0"/>
    <x v="9"/>
    <n v="46764.160000000003"/>
    <n v="2"/>
    <n v="7835.57"/>
  </r>
  <r>
    <s v="ORD0228"/>
    <s v="2025-08-05"/>
    <x v="6"/>
    <n v="2025"/>
    <s v="Marcia Burke"/>
    <x v="1"/>
    <x v="1"/>
    <x v="7"/>
    <n v="2710.22"/>
    <n v="2"/>
    <n v="38"/>
  </r>
  <r>
    <s v="ORD0229"/>
    <s v="2025-08-12"/>
    <x v="6"/>
    <n v="2025"/>
    <s v="Jason White"/>
    <x v="0"/>
    <x v="3"/>
    <x v="18"/>
    <n v="705.6"/>
    <n v="2"/>
    <n v="144.94"/>
  </r>
  <r>
    <s v="ORD0230"/>
    <s v="2025-03-25"/>
    <x v="2"/>
    <n v="2025"/>
    <s v="Shannon West"/>
    <x v="5"/>
    <x v="0"/>
    <x v="0"/>
    <n v="30224.16"/>
    <n v="6"/>
    <n v="6296.39"/>
  </r>
  <r>
    <s v="ORD0231"/>
    <s v="2025-10-01"/>
    <x v="3"/>
    <n v="2025"/>
    <s v="Brandy Bailey"/>
    <x v="1"/>
    <x v="2"/>
    <x v="19"/>
    <n v="34390.22"/>
    <n v="2"/>
    <n v="6881.13"/>
  </r>
  <r>
    <s v="ORD0232"/>
    <s v="2025-05-07"/>
    <x v="4"/>
    <n v="2025"/>
    <s v="Alexa Blake"/>
    <x v="5"/>
    <x v="0"/>
    <x v="10"/>
    <n v="3501.77"/>
    <n v="8"/>
    <n v="562.38"/>
  </r>
  <r>
    <s v="ORD0233"/>
    <s v="2025-10-10"/>
    <x v="3"/>
    <n v="2025"/>
    <s v="Christopher Williams"/>
    <x v="0"/>
    <x v="1"/>
    <x v="8"/>
    <n v="4332.83"/>
    <n v="10"/>
    <n v="1170.1500000000001"/>
  </r>
  <r>
    <s v="ORD0234"/>
    <s v="2025-11-09"/>
    <x v="10"/>
    <n v="2025"/>
    <s v="Tara Duke"/>
    <x v="5"/>
    <x v="2"/>
    <x v="16"/>
    <n v="15756.96"/>
    <n v="9"/>
    <n v="616.41999999999996"/>
  </r>
  <r>
    <s v="ORD0235"/>
    <s v="2025-12-06"/>
    <x v="11"/>
    <n v="2025"/>
    <s v="Steve Huffman"/>
    <x v="0"/>
    <x v="0"/>
    <x v="0"/>
    <n v="7541.81"/>
    <n v="9"/>
    <n v="1784.8"/>
  </r>
  <r>
    <s v="ORD0236"/>
    <s v="2025-08-01"/>
    <x v="6"/>
    <n v="2025"/>
    <s v="Michelle Graham"/>
    <x v="2"/>
    <x v="0"/>
    <x v="0"/>
    <n v="34997.019999999997"/>
    <n v="10"/>
    <n v="7290.21"/>
  </r>
  <r>
    <s v="ORD0237"/>
    <s v="2025-05-06"/>
    <x v="4"/>
    <n v="2025"/>
    <s v="Martin Gray"/>
    <x v="0"/>
    <x v="2"/>
    <x v="5"/>
    <n v="15564.44"/>
    <n v="8"/>
    <n v="182.21"/>
  </r>
  <r>
    <s v="ORD0238"/>
    <s v="2025-09-07"/>
    <x v="5"/>
    <n v="2025"/>
    <s v="Thomas Bruce"/>
    <x v="5"/>
    <x v="0"/>
    <x v="3"/>
    <n v="41449.22"/>
    <n v="9"/>
    <n v="10781.88"/>
  </r>
  <r>
    <s v="ORD0239"/>
    <s v="2025-01-24"/>
    <x v="8"/>
    <n v="2025"/>
    <s v="Jenna Lucas"/>
    <x v="5"/>
    <x v="0"/>
    <x v="14"/>
    <n v="37203.17"/>
    <n v="2"/>
    <n v="8772.7900000000009"/>
  </r>
  <r>
    <s v="ORD0240"/>
    <s v="2025-09-12"/>
    <x v="5"/>
    <n v="2025"/>
    <s v="Russell Pena"/>
    <x v="4"/>
    <x v="1"/>
    <x v="1"/>
    <n v="6808.28"/>
    <n v="8"/>
    <n v="1891.31"/>
  </r>
  <r>
    <s v="ORD0241"/>
    <s v="2025-04-11"/>
    <x v="9"/>
    <n v="2025"/>
    <s v="Ann Francis"/>
    <x v="2"/>
    <x v="3"/>
    <x v="18"/>
    <n v="40382.959999999999"/>
    <n v="5"/>
    <n v="6900.97"/>
  </r>
  <r>
    <s v="ORD0242"/>
    <s v="2025-09-19"/>
    <x v="5"/>
    <n v="2025"/>
    <s v="Janet Rivera"/>
    <x v="6"/>
    <x v="0"/>
    <x v="0"/>
    <n v="40410.83"/>
    <n v="4"/>
    <n v="9920.51"/>
  </r>
  <r>
    <s v="ORD0243"/>
    <s v="2025-07-04"/>
    <x v="7"/>
    <n v="2025"/>
    <s v="Mary Burch"/>
    <x v="3"/>
    <x v="2"/>
    <x v="2"/>
    <n v="11542.73"/>
    <n v="3"/>
    <n v="1885.73"/>
  </r>
  <r>
    <s v="ORD0244"/>
    <s v="2025-09-25"/>
    <x v="5"/>
    <n v="2025"/>
    <s v="Frank Moore"/>
    <x v="1"/>
    <x v="0"/>
    <x v="10"/>
    <n v="8240.25"/>
    <n v="7"/>
    <n v="86.78"/>
  </r>
  <r>
    <s v="ORD0245"/>
    <s v="2025-02-02"/>
    <x v="1"/>
    <n v="2025"/>
    <s v="Justin Livingston"/>
    <x v="0"/>
    <x v="0"/>
    <x v="10"/>
    <n v="43194.15"/>
    <n v="2"/>
    <n v="10711.61"/>
  </r>
  <r>
    <s v="ORD0246"/>
    <s v="2025-10-13"/>
    <x v="3"/>
    <n v="2025"/>
    <s v="Brandon Gonzalez"/>
    <x v="6"/>
    <x v="0"/>
    <x v="9"/>
    <n v="13772.52"/>
    <n v="4"/>
    <n v="3903.55"/>
  </r>
  <r>
    <s v="ORD0247"/>
    <s v="2025-11-24"/>
    <x v="10"/>
    <n v="2025"/>
    <s v="Kevin Collier"/>
    <x v="6"/>
    <x v="2"/>
    <x v="2"/>
    <n v="18871.689999999999"/>
    <n v="7"/>
    <n v="4873.5600000000004"/>
  </r>
  <r>
    <s v="ORD0248"/>
    <s v="2025-07-18"/>
    <x v="7"/>
    <n v="2025"/>
    <s v="David Anderson"/>
    <x v="3"/>
    <x v="2"/>
    <x v="5"/>
    <n v="15320.77"/>
    <n v="9"/>
    <n v="3330.47"/>
  </r>
  <r>
    <s v="ORD0249"/>
    <s v="2025-01-12"/>
    <x v="8"/>
    <n v="2025"/>
    <s v="Mary Robinson"/>
    <x v="0"/>
    <x v="3"/>
    <x v="6"/>
    <n v="3303.76"/>
    <n v="3"/>
    <n v="854.65"/>
  </r>
  <r>
    <s v="ORD0250"/>
    <s v="2025-05-22"/>
    <x v="4"/>
    <n v="2025"/>
    <s v="Virginia Duffy"/>
    <x v="5"/>
    <x v="3"/>
    <x v="18"/>
    <n v="4169.6400000000003"/>
    <n v="10"/>
    <n v="866.85"/>
  </r>
  <r>
    <s v="ORD0251"/>
    <s v="2025-02-17"/>
    <x v="1"/>
    <n v="2025"/>
    <s v="Whitney Delgado"/>
    <x v="1"/>
    <x v="0"/>
    <x v="9"/>
    <n v="40715.730000000003"/>
    <n v="4"/>
    <n v="-720.61"/>
  </r>
  <r>
    <s v="ORD0252"/>
    <s v="2025-01-22"/>
    <x v="8"/>
    <n v="2025"/>
    <s v="Robert Grant"/>
    <x v="1"/>
    <x v="3"/>
    <x v="18"/>
    <n v="40214.21"/>
    <n v="4"/>
    <n v="11708.62"/>
  </r>
  <r>
    <s v="ORD0253"/>
    <s v="2025-11-14"/>
    <x v="10"/>
    <n v="2025"/>
    <s v="Brian Hernandez"/>
    <x v="2"/>
    <x v="0"/>
    <x v="9"/>
    <n v="43261.08"/>
    <n v="4"/>
    <n v="8085.57"/>
  </r>
  <r>
    <s v="ORD0254"/>
    <s v="2025-07-16"/>
    <x v="7"/>
    <n v="2025"/>
    <s v="Jordan Stewart DVM"/>
    <x v="1"/>
    <x v="1"/>
    <x v="8"/>
    <n v="39170.15"/>
    <n v="1"/>
    <n v="4655.03"/>
  </r>
  <r>
    <s v="ORD0255"/>
    <s v="2025-01-09"/>
    <x v="8"/>
    <n v="2025"/>
    <s v="Donna Pierce"/>
    <x v="4"/>
    <x v="1"/>
    <x v="4"/>
    <n v="16721.28"/>
    <n v="9"/>
    <n v="-788.19"/>
  </r>
  <r>
    <s v="ORD0256"/>
    <s v="2025-02-13"/>
    <x v="1"/>
    <n v="2025"/>
    <s v="Zachary Lamb"/>
    <x v="6"/>
    <x v="0"/>
    <x v="3"/>
    <n v="15304.51"/>
    <n v="4"/>
    <n v="-145.31"/>
  </r>
  <r>
    <s v="ORD0257"/>
    <s v="2025-04-13"/>
    <x v="9"/>
    <n v="2025"/>
    <s v="Brian Rush"/>
    <x v="3"/>
    <x v="3"/>
    <x v="11"/>
    <n v="1100.79"/>
    <n v="1"/>
    <n v="181.27"/>
  </r>
  <r>
    <s v="ORD0258"/>
    <s v="2025-02-27"/>
    <x v="1"/>
    <n v="2025"/>
    <s v="Katie Smith"/>
    <x v="6"/>
    <x v="0"/>
    <x v="3"/>
    <n v="33089.379999999997"/>
    <n v="9"/>
    <n v="4658.76"/>
  </r>
  <r>
    <s v="ORD0259"/>
    <s v="2025-12-09"/>
    <x v="11"/>
    <n v="2025"/>
    <s v="Kent Shaw"/>
    <x v="5"/>
    <x v="3"/>
    <x v="6"/>
    <n v="1472.3"/>
    <n v="10"/>
    <n v="290.98"/>
  </r>
  <r>
    <s v="ORD0260"/>
    <s v="2025-04-02"/>
    <x v="9"/>
    <n v="2025"/>
    <s v="Patricia Williams"/>
    <x v="6"/>
    <x v="2"/>
    <x v="19"/>
    <n v="36841.22"/>
    <n v="6"/>
    <n v="5699.96"/>
  </r>
  <r>
    <s v="ORD0261"/>
    <s v="2025-11-04"/>
    <x v="10"/>
    <n v="2025"/>
    <s v="Sarah Hoover"/>
    <x v="2"/>
    <x v="1"/>
    <x v="8"/>
    <n v="16462.11"/>
    <n v="6"/>
    <n v="2682.02"/>
  </r>
  <r>
    <s v="ORD0262"/>
    <s v="2025-01-23"/>
    <x v="8"/>
    <n v="2025"/>
    <s v="Debra Pope MD"/>
    <x v="1"/>
    <x v="0"/>
    <x v="10"/>
    <n v="42025.4"/>
    <n v="1"/>
    <n v="8460.8799999999992"/>
  </r>
  <r>
    <s v="ORD0263"/>
    <s v="2025-03-01"/>
    <x v="2"/>
    <n v="2025"/>
    <s v="Eric Jenkins"/>
    <x v="1"/>
    <x v="0"/>
    <x v="14"/>
    <n v="41743.68"/>
    <n v="2"/>
    <n v="7572.55"/>
  </r>
  <r>
    <s v="ORD0264"/>
    <s v="2025-03-05"/>
    <x v="2"/>
    <n v="2025"/>
    <s v="Nicholas Cook"/>
    <x v="0"/>
    <x v="1"/>
    <x v="8"/>
    <n v="44092.4"/>
    <n v="6"/>
    <n v="13024.62"/>
  </r>
  <r>
    <s v="ORD0265"/>
    <s v="2025-05-09"/>
    <x v="4"/>
    <n v="2025"/>
    <s v="Kelly White"/>
    <x v="6"/>
    <x v="1"/>
    <x v="8"/>
    <n v="36014.36"/>
    <n v="9"/>
    <n v="8189.47"/>
  </r>
  <r>
    <s v="ORD0266"/>
    <s v="2025-04-11"/>
    <x v="9"/>
    <n v="2025"/>
    <s v="Tina Murray"/>
    <x v="2"/>
    <x v="1"/>
    <x v="12"/>
    <n v="38976.46"/>
    <n v="6"/>
    <n v="10276.32"/>
  </r>
  <r>
    <s v="ORD0267"/>
    <s v="2025-06-05"/>
    <x v="0"/>
    <n v="2025"/>
    <s v="Taylor Bailey"/>
    <x v="4"/>
    <x v="2"/>
    <x v="2"/>
    <n v="17382.740000000002"/>
    <n v="4"/>
    <n v="2520.3000000000002"/>
  </r>
  <r>
    <s v="ORD0268"/>
    <s v="2025-07-11"/>
    <x v="7"/>
    <n v="2025"/>
    <s v="Amanda Wall"/>
    <x v="5"/>
    <x v="0"/>
    <x v="14"/>
    <n v="41633.19"/>
    <n v="1"/>
    <n v="9437.51"/>
  </r>
  <r>
    <s v="ORD0269"/>
    <s v="2025-11-13"/>
    <x v="10"/>
    <n v="2025"/>
    <s v="David Navarro"/>
    <x v="2"/>
    <x v="3"/>
    <x v="15"/>
    <n v="38439.56"/>
    <n v="8"/>
    <n v="2832.44"/>
  </r>
  <r>
    <s v="ORD0270"/>
    <s v="2025-07-04"/>
    <x v="7"/>
    <n v="2025"/>
    <s v="Paul Hammond"/>
    <x v="0"/>
    <x v="0"/>
    <x v="14"/>
    <n v="20779.099999999999"/>
    <n v="10"/>
    <n v="-207.53"/>
  </r>
  <r>
    <s v="ORD0271"/>
    <s v="2025-10-17"/>
    <x v="3"/>
    <n v="2025"/>
    <s v="Sandra Perry"/>
    <x v="3"/>
    <x v="0"/>
    <x v="10"/>
    <n v="21358.2"/>
    <n v="1"/>
    <n v="5659.66"/>
  </r>
  <r>
    <s v="ORD0272"/>
    <s v="2025-09-02"/>
    <x v="5"/>
    <n v="2025"/>
    <s v="Mathew Barber"/>
    <x v="3"/>
    <x v="1"/>
    <x v="7"/>
    <n v="37778.1"/>
    <n v="3"/>
    <n v="11233.28"/>
  </r>
  <r>
    <s v="ORD0273"/>
    <s v="2025-07-03"/>
    <x v="7"/>
    <n v="2025"/>
    <s v="Juan Greene"/>
    <x v="1"/>
    <x v="3"/>
    <x v="18"/>
    <n v="36437.49"/>
    <n v="6"/>
    <n v="6825.01"/>
  </r>
  <r>
    <s v="ORD0274"/>
    <s v="2025-12-28"/>
    <x v="11"/>
    <n v="2025"/>
    <s v="Brandon Kim"/>
    <x v="3"/>
    <x v="1"/>
    <x v="12"/>
    <n v="39182.65"/>
    <n v="8"/>
    <n v="7204.91"/>
  </r>
  <r>
    <s v="ORD0275"/>
    <s v="2025-04-16"/>
    <x v="9"/>
    <n v="2025"/>
    <s v="Lonnie Roberts"/>
    <x v="5"/>
    <x v="2"/>
    <x v="2"/>
    <n v="11293.44"/>
    <n v="9"/>
    <n v="1043.81"/>
  </r>
  <r>
    <s v="ORD0276"/>
    <s v="2025-11-22"/>
    <x v="10"/>
    <n v="2025"/>
    <s v="Melissa Serrano"/>
    <x v="4"/>
    <x v="1"/>
    <x v="1"/>
    <n v="13000.24"/>
    <n v="2"/>
    <n v="1259.55"/>
  </r>
  <r>
    <s v="ORD0277"/>
    <s v="2025-05-31"/>
    <x v="4"/>
    <n v="2025"/>
    <s v="Jordan Smith"/>
    <x v="0"/>
    <x v="1"/>
    <x v="7"/>
    <n v="17841.509999999998"/>
    <n v="7"/>
    <n v="3594.34"/>
  </r>
  <r>
    <s v="ORD0278"/>
    <s v="2025-02-01"/>
    <x v="1"/>
    <n v="2025"/>
    <s v="Ashley Lang DDS"/>
    <x v="0"/>
    <x v="1"/>
    <x v="1"/>
    <n v="47284.38"/>
    <n v="9"/>
    <n v="6639.32"/>
  </r>
  <r>
    <s v="ORD0279"/>
    <s v="2025-07-09"/>
    <x v="7"/>
    <n v="2025"/>
    <s v="Lisa Lindsey"/>
    <x v="0"/>
    <x v="2"/>
    <x v="16"/>
    <n v="550.41"/>
    <n v="6"/>
    <n v="150.93"/>
  </r>
  <r>
    <s v="ORD0280"/>
    <s v="2025-04-14"/>
    <x v="9"/>
    <n v="2025"/>
    <s v="Laura Brown"/>
    <x v="2"/>
    <x v="0"/>
    <x v="0"/>
    <n v="27067.99"/>
    <n v="3"/>
    <n v="7688.64"/>
  </r>
  <r>
    <s v="ORD0281"/>
    <s v="2025-01-08"/>
    <x v="8"/>
    <n v="2025"/>
    <s v="Keith Johnson"/>
    <x v="1"/>
    <x v="2"/>
    <x v="17"/>
    <n v="15294.22"/>
    <n v="4"/>
    <n v="2450.15"/>
  </r>
  <r>
    <s v="ORD0282"/>
    <s v="2025-11-09"/>
    <x v="10"/>
    <n v="2025"/>
    <s v="Eric Larson"/>
    <x v="6"/>
    <x v="0"/>
    <x v="14"/>
    <n v="22104.37"/>
    <n v="9"/>
    <n v="2289.64"/>
  </r>
  <r>
    <s v="ORD0283"/>
    <s v="2025-01-22"/>
    <x v="8"/>
    <n v="2025"/>
    <s v="Jeffrey Kim"/>
    <x v="6"/>
    <x v="2"/>
    <x v="5"/>
    <n v="37587.17"/>
    <n v="1"/>
    <n v="2496.6799999999998"/>
  </r>
  <r>
    <s v="ORD0284"/>
    <s v="2025-08-08"/>
    <x v="6"/>
    <n v="2025"/>
    <s v="Lisa Rocha"/>
    <x v="5"/>
    <x v="0"/>
    <x v="9"/>
    <n v="921.16"/>
    <n v="7"/>
    <n v="184.39"/>
  </r>
  <r>
    <s v="ORD0285"/>
    <s v="2025-02-08"/>
    <x v="1"/>
    <n v="2025"/>
    <s v="Cesar Smith"/>
    <x v="5"/>
    <x v="2"/>
    <x v="5"/>
    <n v="34759.31"/>
    <n v="9"/>
    <n v="6154.57"/>
  </r>
  <r>
    <s v="ORD0286"/>
    <s v="2025-06-15"/>
    <x v="0"/>
    <n v="2025"/>
    <s v="Linda Taylor"/>
    <x v="4"/>
    <x v="0"/>
    <x v="10"/>
    <n v="38897.919999999998"/>
    <n v="9"/>
    <n v="7924.16"/>
  </r>
  <r>
    <s v="ORD0287"/>
    <s v="2025-09-13"/>
    <x v="5"/>
    <n v="2025"/>
    <s v="Tracie Howard"/>
    <x v="5"/>
    <x v="0"/>
    <x v="9"/>
    <n v="26555.73"/>
    <n v="6"/>
    <n v="1609.74"/>
  </r>
  <r>
    <s v="ORD0288"/>
    <s v="2025-08-27"/>
    <x v="6"/>
    <n v="2025"/>
    <s v="Anita Vega DVM"/>
    <x v="1"/>
    <x v="1"/>
    <x v="4"/>
    <n v="28637.08"/>
    <n v="8"/>
    <n v="7766.68"/>
  </r>
  <r>
    <s v="ORD0289"/>
    <s v="2025-04-12"/>
    <x v="9"/>
    <n v="2025"/>
    <s v="Patricia Hays MD"/>
    <x v="4"/>
    <x v="1"/>
    <x v="4"/>
    <n v="47586.879999999997"/>
    <n v="5"/>
    <n v="7382.2"/>
  </r>
  <r>
    <s v="ORD0290"/>
    <s v="2025-02-07"/>
    <x v="1"/>
    <n v="2025"/>
    <s v="Shaun Williams"/>
    <x v="1"/>
    <x v="1"/>
    <x v="7"/>
    <n v="36749.31"/>
    <n v="8"/>
    <n v="5458.95"/>
  </r>
  <r>
    <s v="ORD0291"/>
    <s v="2025-12-24"/>
    <x v="11"/>
    <n v="2025"/>
    <s v="Crystal Vega"/>
    <x v="5"/>
    <x v="2"/>
    <x v="16"/>
    <n v="12069.06"/>
    <n v="8"/>
    <n v="2006.96"/>
  </r>
  <r>
    <s v="ORD0292"/>
    <s v="2025-11-23"/>
    <x v="10"/>
    <n v="2025"/>
    <s v="Nicole Jones"/>
    <x v="6"/>
    <x v="0"/>
    <x v="9"/>
    <n v="37603.56"/>
    <n v="8"/>
    <n v="6054.41"/>
  </r>
  <r>
    <s v="ORD0293"/>
    <s v="2025-12-21"/>
    <x v="11"/>
    <n v="2025"/>
    <s v="Tiffany Sanchez"/>
    <x v="0"/>
    <x v="3"/>
    <x v="6"/>
    <n v="9880.11"/>
    <n v="6"/>
    <n v="1618.54"/>
  </r>
  <r>
    <s v="ORD0294"/>
    <s v="2025-08-02"/>
    <x v="6"/>
    <n v="2025"/>
    <s v="Stephanie Faulkner"/>
    <x v="2"/>
    <x v="2"/>
    <x v="19"/>
    <n v="25495.68"/>
    <n v="3"/>
    <n v="3409.08"/>
  </r>
  <r>
    <s v="ORD0295"/>
    <s v="2025-06-04"/>
    <x v="0"/>
    <n v="2025"/>
    <s v="Kelly Day"/>
    <x v="0"/>
    <x v="1"/>
    <x v="1"/>
    <n v="16695.009999999998"/>
    <n v="7"/>
    <n v="628.6"/>
  </r>
  <r>
    <s v="ORD0296"/>
    <s v="2025-08-20"/>
    <x v="6"/>
    <n v="2025"/>
    <s v="Bryan Martinez"/>
    <x v="0"/>
    <x v="2"/>
    <x v="19"/>
    <n v="12155.61"/>
    <n v="6"/>
    <n v="2468.71"/>
  </r>
  <r>
    <s v="ORD0297"/>
    <s v="2025-03-17"/>
    <x v="2"/>
    <n v="2025"/>
    <s v="Bradley Dorsey"/>
    <x v="1"/>
    <x v="1"/>
    <x v="8"/>
    <n v="16834.14"/>
    <n v="8"/>
    <n v="3019.31"/>
  </r>
  <r>
    <s v="ORD0298"/>
    <s v="2025-12-25"/>
    <x v="11"/>
    <n v="2025"/>
    <s v="Heather Taylor"/>
    <x v="6"/>
    <x v="2"/>
    <x v="17"/>
    <n v="22716.91"/>
    <n v="7"/>
    <n v="3741.74"/>
  </r>
  <r>
    <s v="ORD0299"/>
    <s v="2025-10-18"/>
    <x v="3"/>
    <n v="2025"/>
    <s v="Rebekah Turner"/>
    <x v="2"/>
    <x v="3"/>
    <x v="6"/>
    <n v="46923.57"/>
    <n v="3"/>
    <n v="7479.43"/>
  </r>
  <r>
    <s v="ORD0300"/>
    <s v="2025-03-24"/>
    <x v="2"/>
    <n v="2025"/>
    <s v="Ashley Odom"/>
    <x v="0"/>
    <x v="2"/>
    <x v="2"/>
    <n v="15700.43"/>
    <n v="2"/>
    <n v="3947.85"/>
  </r>
  <r>
    <s v="ORD0301"/>
    <s v="2025-12-22"/>
    <x v="11"/>
    <n v="2025"/>
    <s v="Rhonda Rhodes"/>
    <x v="3"/>
    <x v="3"/>
    <x v="6"/>
    <n v="47142.51"/>
    <n v="9"/>
    <n v="-1922.62"/>
  </r>
  <r>
    <s v="ORD0302"/>
    <s v="2025-10-16"/>
    <x v="3"/>
    <n v="2025"/>
    <s v="Kelly Kelley"/>
    <x v="2"/>
    <x v="2"/>
    <x v="19"/>
    <n v="16679.099999999999"/>
    <n v="3"/>
    <n v="498.58"/>
  </r>
  <r>
    <s v="ORD0303"/>
    <s v="2025-11-25"/>
    <x v="10"/>
    <n v="2025"/>
    <s v="Paul Stanley"/>
    <x v="4"/>
    <x v="0"/>
    <x v="9"/>
    <n v="15626.85"/>
    <n v="9"/>
    <n v="2707.39"/>
  </r>
  <r>
    <s v="ORD0304"/>
    <s v="2025-05-11"/>
    <x v="4"/>
    <n v="2025"/>
    <s v="Aaron Cunningham"/>
    <x v="6"/>
    <x v="0"/>
    <x v="0"/>
    <n v="31600.43"/>
    <n v="5"/>
    <n v="1168.72"/>
  </r>
  <r>
    <s v="ORD0305"/>
    <s v="2025-01-27"/>
    <x v="8"/>
    <n v="2025"/>
    <s v="Gabrielle Lowe"/>
    <x v="5"/>
    <x v="0"/>
    <x v="3"/>
    <n v="10826.19"/>
    <n v="8"/>
    <n v="1644.77"/>
  </r>
  <r>
    <s v="ORD0306"/>
    <s v="2025-04-13"/>
    <x v="9"/>
    <n v="2025"/>
    <s v="Christopher Rodriguez"/>
    <x v="0"/>
    <x v="0"/>
    <x v="14"/>
    <n v="23749.83"/>
    <n v="9"/>
    <n v="6209.77"/>
  </r>
  <r>
    <s v="ORD0307"/>
    <s v="2025-03-06"/>
    <x v="2"/>
    <n v="2025"/>
    <s v="Jonathan Stevenson"/>
    <x v="5"/>
    <x v="2"/>
    <x v="2"/>
    <n v="29667.15"/>
    <n v="5"/>
    <n v="7958.05"/>
  </r>
  <r>
    <s v="ORD0308"/>
    <s v="2025-03-30"/>
    <x v="2"/>
    <n v="2025"/>
    <s v="Shannon Wilkins"/>
    <x v="4"/>
    <x v="0"/>
    <x v="9"/>
    <n v="30539.98"/>
    <n v="3"/>
    <n v="3413.08"/>
  </r>
  <r>
    <s v="ORD0309"/>
    <s v="2025-06-13"/>
    <x v="0"/>
    <n v="2025"/>
    <s v="Denise Sanders"/>
    <x v="6"/>
    <x v="1"/>
    <x v="4"/>
    <n v="8766.65"/>
    <n v="10"/>
    <n v="-91.08"/>
  </r>
  <r>
    <s v="ORD0310"/>
    <s v="2025-12-05"/>
    <x v="11"/>
    <n v="2025"/>
    <s v="Maria Zuniga"/>
    <x v="1"/>
    <x v="0"/>
    <x v="3"/>
    <n v="24955.98"/>
    <n v="3"/>
    <n v="4461.62"/>
  </r>
  <r>
    <s v="ORD0311"/>
    <s v="2025-07-26"/>
    <x v="7"/>
    <n v="2025"/>
    <s v="Carl Medina"/>
    <x v="5"/>
    <x v="0"/>
    <x v="0"/>
    <n v="29491.88"/>
    <n v="8"/>
    <n v="4288.99"/>
  </r>
  <r>
    <s v="ORD0312"/>
    <s v="2025-08-19"/>
    <x v="6"/>
    <n v="2025"/>
    <s v="Michael Carr"/>
    <x v="0"/>
    <x v="2"/>
    <x v="17"/>
    <n v="38250.800000000003"/>
    <n v="6"/>
    <n v="11080"/>
  </r>
  <r>
    <s v="ORD0313"/>
    <s v="2025-10-25"/>
    <x v="3"/>
    <n v="2025"/>
    <s v="Melissa Hunter"/>
    <x v="4"/>
    <x v="3"/>
    <x v="6"/>
    <n v="45382.82"/>
    <n v="9"/>
    <n v="8618.42"/>
  </r>
  <r>
    <s v="ORD0314"/>
    <s v="2025-12-18"/>
    <x v="11"/>
    <n v="2025"/>
    <s v="Gabriel Black"/>
    <x v="5"/>
    <x v="3"/>
    <x v="11"/>
    <n v="2724.42"/>
    <n v="9"/>
    <n v="363.33"/>
  </r>
  <r>
    <s v="ORD0315"/>
    <s v="2025-10-16"/>
    <x v="3"/>
    <n v="2025"/>
    <s v="Christopher Mason"/>
    <x v="6"/>
    <x v="0"/>
    <x v="14"/>
    <n v="30912.28"/>
    <n v="3"/>
    <n v="6120.9"/>
  </r>
  <r>
    <s v="ORD0316"/>
    <s v="2025-09-02"/>
    <x v="5"/>
    <n v="2025"/>
    <s v="Katherine Cohen"/>
    <x v="6"/>
    <x v="0"/>
    <x v="10"/>
    <n v="39466.639999999999"/>
    <n v="7"/>
    <n v="6894.12"/>
  </r>
  <r>
    <s v="ORD0317"/>
    <s v="2025-01-12"/>
    <x v="8"/>
    <n v="2025"/>
    <s v="Catherine Jennings"/>
    <x v="0"/>
    <x v="3"/>
    <x v="15"/>
    <n v="18698.3"/>
    <n v="1"/>
    <n v="3356.13"/>
  </r>
  <r>
    <s v="ORD0318"/>
    <s v="2025-08-08"/>
    <x v="6"/>
    <n v="2025"/>
    <s v="Kelly Johnson DDS"/>
    <x v="2"/>
    <x v="1"/>
    <x v="7"/>
    <n v="28343.39"/>
    <n v="8"/>
    <n v="8097.05"/>
  </r>
  <r>
    <s v="ORD0319"/>
    <s v="2025-01-07"/>
    <x v="8"/>
    <n v="2025"/>
    <s v="Jaime Herrera"/>
    <x v="2"/>
    <x v="0"/>
    <x v="0"/>
    <n v="7331.36"/>
    <n v="3"/>
    <n v="761.14"/>
  </r>
  <r>
    <s v="ORD0320"/>
    <s v="2025-12-23"/>
    <x v="11"/>
    <n v="2025"/>
    <s v="Erin Garrett"/>
    <x v="1"/>
    <x v="0"/>
    <x v="3"/>
    <n v="18353.5"/>
    <n v="6"/>
    <n v="3784.13"/>
  </r>
  <r>
    <s v="ORD0321"/>
    <s v="2025-06-27"/>
    <x v="0"/>
    <n v="2025"/>
    <s v="Tammy Lawson"/>
    <x v="4"/>
    <x v="3"/>
    <x v="6"/>
    <n v="29555.599999999999"/>
    <n v="6"/>
    <n v="5152.6400000000003"/>
  </r>
  <r>
    <s v="ORD0322"/>
    <s v="2025-09-22"/>
    <x v="5"/>
    <n v="2025"/>
    <s v="Mark Kelly"/>
    <x v="2"/>
    <x v="2"/>
    <x v="19"/>
    <n v="1869.65"/>
    <n v="1"/>
    <n v="28.3"/>
  </r>
  <r>
    <s v="ORD0323"/>
    <s v="2025-06-07"/>
    <x v="0"/>
    <n v="2025"/>
    <s v="Lisa Simpson"/>
    <x v="4"/>
    <x v="0"/>
    <x v="3"/>
    <n v="38655.06"/>
    <n v="9"/>
    <n v="8570.26"/>
  </r>
  <r>
    <s v="ORD0324"/>
    <s v="2025-07-03"/>
    <x v="7"/>
    <n v="2025"/>
    <s v="Robert Davis"/>
    <x v="1"/>
    <x v="3"/>
    <x v="11"/>
    <n v="49155.53"/>
    <n v="2"/>
    <n v="-1227.73"/>
  </r>
  <r>
    <s v="ORD0325"/>
    <s v="2025-02-19"/>
    <x v="1"/>
    <n v="2025"/>
    <s v="Mr. Juan Snyder"/>
    <x v="0"/>
    <x v="0"/>
    <x v="9"/>
    <n v="19594.14"/>
    <n v="6"/>
    <n v="2482.4699999999998"/>
  </r>
  <r>
    <s v="ORD0326"/>
    <s v="2025-06-25"/>
    <x v="0"/>
    <n v="2025"/>
    <s v="David Smith"/>
    <x v="4"/>
    <x v="0"/>
    <x v="0"/>
    <n v="18110.21"/>
    <n v="1"/>
    <n v="3106.01"/>
  </r>
  <r>
    <s v="ORD0327"/>
    <s v="2025-09-02"/>
    <x v="5"/>
    <n v="2025"/>
    <s v="Matthew Baldwin"/>
    <x v="4"/>
    <x v="3"/>
    <x v="15"/>
    <n v="9705.0400000000009"/>
    <n v="6"/>
    <n v="1432.1"/>
  </r>
  <r>
    <s v="ORD0328"/>
    <s v="2025-05-30"/>
    <x v="4"/>
    <n v="2025"/>
    <s v="Rebekah King"/>
    <x v="6"/>
    <x v="1"/>
    <x v="4"/>
    <n v="18685.37"/>
    <n v="3"/>
    <n v="726.01"/>
  </r>
  <r>
    <s v="ORD0329"/>
    <s v="2025-07-25"/>
    <x v="7"/>
    <n v="2025"/>
    <s v="Gabrielle Mitchell"/>
    <x v="6"/>
    <x v="3"/>
    <x v="6"/>
    <n v="36113.47"/>
    <n v="10"/>
    <n v="10398.42"/>
  </r>
  <r>
    <s v="ORD0330"/>
    <s v="2025-08-18"/>
    <x v="6"/>
    <n v="2025"/>
    <s v="Bruce Miller"/>
    <x v="1"/>
    <x v="1"/>
    <x v="4"/>
    <n v="33709.870000000003"/>
    <n v="8"/>
    <n v="5930.31"/>
  </r>
  <r>
    <s v="ORD0331"/>
    <s v="2025-04-21"/>
    <x v="9"/>
    <n v="2025"/>
    <s v="Karen Cox"/>
    <x v="0"/>
    <x v="0"/>
    <x v="9"/>
    <n v="42604.27"/>
    <n v="7"/>
    <n v="10157.82"/>
  </r>
  <r>
    <s v="ORD0332"/>
    <s v="2025-06-26"/>
    <x v="0"/>
    <n v="2025"/>
    <s v="Kimberly Shah"/>
    <x v="3"/>
    <x v="0"/>
    <x v="0"/>
    <n v="3926.44"/>
    <n v="3"/>
    <n v="276.73"/>
  </r>
  <r>
    <s v="ORD0333"/>
    <s v="2025-03-01"/>
    <x v="2"/>
    <n v="2025"/>
    <s v="Kimberly Johnson"/>
    <x v="1"/>
    <x v="3"/>
    <x v="15"/>
    <n v="25503.32"/>
    <n v="6"/>
    <n v="7144.22"/>
  </r>
  <r>
    <s v="ORD0334"/>
    <s v="2025-09-20"/>
    <x v="5"/>
    <n v="2025"/>
    <s v="Nicholas Brown"/>
    <x v="1"/>
    <x v="2"/>
    <x v="19"/>
    <n v="22761.360000000001"/>
    <n v="4"/>
    <n v="6222.59"/>
  </r>
  <r>
    <s v="ORD0335"/>
    <s v="2025-10-06"/>
    <x v="3"/>
    <n v="2025"/>
    <s v="Kaitlyn Smith"/>
    <x v="0"/>
    <x v="0"/>
    <x v="10"/>
    <n v="25723.1"/>
    <n v="4"/>
    <n v="4649.33"/>
  </r>
  <r>
    <s v="ORD0336"/>
    <s v="2025-07-22"/>
    <x v="7"/>
    <n v="2025"/>
    <s v="Debra Armstrong"/>
    <x v="3"/>
    <x v="1"/>
    <x v="12"/>
    <n v="38234.49"/>
    <n v="4"/>
    <n v="5533.81"/>
  </r>
  <r>
    <s v="ORD0337"/>
    <s v="2025-03-01"/>
    <x v="2"/>
    <n v="2025"/>
    <s v="Michael Long"/>
    <x v="3"/>
    <x v="2"/>
    <x v="19"/>
    <n v="14184.39"/>
    <n v="6"/>
    <n v="106.04"/>
  </r>
  <r>
    <s v="ORD0338"/>
    <s v="2025-12-21"/>
    <x v="11"/>
    <n v="2025"/>
    <s v="Eric Villarreal"/>
    <x v="1"/>
    <x v="1"/>
    <x v="8"/>
    <n v="26644.87"/>
    <n v="4"/>
    <n v="468.84"/>
  </r>
  <r>
    <s v="ORD0339"/>
    <s v="2025-11-02"/>
    <x v="10"/>
    <n v="2025"/>
    <s v="James Diaz"/>
    <x v="1"/>
    <x v="1"/>
    <x v="7"/>
    <n v="21430.560000000001"/>
    <n v="7"/>
    <n v="5453.35"/>
  </r>
  <r>
    <s v="ORD0340"/>
    <s v="2025-09-23"/>
    <x v="5"/>
    <n v="2025"/>
    <s v="Penny Love"/>
    <x v="2"/>
    <x v="0"/>
    <x v="14"/>
    <n v="44571.12"/>
    <n v="2"/>
    <n v="9301.2000000000007"/>
  </r>
  <r>
    <s v="ORD0341"/>
    <s v="2025-06-12"/>
    <x v="0"/>
    <n v="2025"/>
    <s v="Kathleen Reynolds"/>
    <x v="5"/>
    <x v="0"/>
    <x v="3"/>
    <n v="30834.19"/>
    <n v="10"/>
    <n v="4710.6499999999996"/>
  </r>
  <r>
    <s v="ORD0342"/>
    <s v="2025-02-20"/>
    <x v="1"/>
    <n v="2025"/>
    <s v="Brandi Rosales"/>
    <x v="3"/>
    <x v="2"/>
    <x v="5"/>
    <n v="20684.43"/>
    <n v="5"/>
    <n v="-458.96"/>
  </r>
  <r>
    <s v="ORD0343"/>
    <s v="2025-03-20"/>
    <x v="2"/>
    <n v="2025"/>
    <s v="Christopher Banks"/>
    <x v="0"/>
    <x v="2"/>
    <x v="5"/>
    <n v="27718.57"/>
    <n v="8"/>
    <n v="930.22"/>
  </r>
  <r>
    <s v="ORD0344"/>
    <s v="2025-12-17"/>
    <x v="11"/>
    <n v="2025"/>
    <s v="Ryan Wright"/>
    <x v="4"/>
    <x v="0"/>
    <x v="3"/>
    <n v="4717"/>
    <n v="10"/>
    <n v="788.5"/>
  </r>
  <r>
    <s v="ORD0345"/>
    <s v="2025-09-03"/>
    <x v="5"/>
    <n v="2025"/>
    <s v="Thomas Long"/>
    <x v="0"/>
    <x v="3"/>
    <x v="18"/>
    <n v="9022.1299999999992"/>
    <n v="1"/>
    <n v="1700.83"/>
  </r>
  <r>
    <s v="ORD0346"/>
    <s v="2025-10-23"/>
    <x v="3"/>
    <n v="2025"/>
    <s v="William Pena"/>
    <x v="5"/>
    <x v="2"/>
    <x v="5"/>
    <n v="35230.58"/>
    <n v="3"/>
    <n v="4124.75"/>
  </r>
  <r>
    <s v="ORD0347"/>
    <s v="2025-06-09"/>
    <x v="0"/>
    <n v="2025"/>
    <s v="Matthew Weiss"/>
    <x v="4"/>
    <x v="1"/>
    <x v="8"/>
    <n v="13211.88"/>
    <n v="9"/>
    <n v="1599.56"/>
  </r>
  <r>
    <s v="ORD0348"/>
    <s v="2025-02-13"/>
    <x v="1"/>
    <n v="2025"/>
    <s v="Sherri Stevenson"/>
    <x v="5"/>
    <x v="2"/>
    <x v="19"/>
    <n v="11355.03"/>
    <n v="3"/>
    <n v="1776.6"/>
  </r>
  <r>
    <s v="ORD0349"/>
    <s v="2025-01-03"/>
    <x v="8"/>
    <n v="2025"/>
    <s v="Patrick Robertson"/>
    <x v="0"/>
    <x v="0"/>
    <x v="14"/>
    <n v="14641.46"/>
    <n v="2"/>
    <n v="1372.26"/>
  </r>
  <r>
    <s v="ORD0350"/>
    <s v="2025-01-29"/>
    <x v="8"/>
    <n v="2025"/>
    <s v="Abigail Kerr"/>
    <x v="5"/>
    <x v="2"/>
    <x v="16"/>
    <n v="26587.59"/>
    <n v="1"/>
    <n v="-1282.6500000000001"/>
  </r>
  <r>
    <s v="ORD0351"/>
    <s v="2025-12-05"/>
    <x v="11"/>
    <n v="2025"/>
    <s v="James Maldonado"/>
    <x v="0"/>
    <x v="2"/>
    <x v="19"/>
    <n v="33716.42"/>
    <n v="2"/>
    <n v="-221.86"/>
  </r>
  <r>
    <s v="ORD0352"/>
    <s v="2025-01-06"/>
    <x v="8"/>
    <n v="2025"/>
    <s v="Jason Jenkins"/>
    <x v="1"/>
    <x v="3"/>
    <x v="13"/>
    <n v="38060.18"/>
    <n v="3"/>
    <n v="7801.88"/>
  </r>
  <r>
    <s v="ORD0353"/>
    <s v="2025-03-12"/>
    <x v="2"/>
    <n v="2025"/>
    <s v="Christopher Garcia"/>
    <x v="1"/>
    <x v="0"/>
    <x v="10"/>
    <n v="35828.660000000003"/>
    <n v="7"/>
    <n v="10027.23"/>
  </r>
  <r>
    <s v="ORD0354"/>
    <s v="2025-12-15"/>
    <x v="11"/>
    <n v="2025"/>
    <s v="James Todd"/>
    <x v="1"/>
    <x v="0"/>
    <x v="10"/>
    <n v="25783.23"/>
    <n v="2"/>
    <n v="2259.65"/>
  </r>
  <r>
    <s v="ORD0355"/>
    <s v="2025-12-17"/>
    <x v="11"/>
    <n v="2025"/>
    <s v="Sheryl Reeves"/>
    <x v="2"/>
    <x v="3"/>
    <x v="15"/>
    <n v="4960.92"/>
    <n v="6"/>
    <n v="888.19"/>
  </r>
  <r>
    <s v="ORD0356"/>
    <s v="2025-11-11"/>
    <x v="10"/>
    <n v="2025"/>
    <s v="Stacy Nelson"/>
    <x v="5"/>
    <x v="3"/>
    <x v="18"/>
    <n v="39450.71"/>
    <n v="5"/>
    <n v="2460.69"/>
  </r>
  <r>
    <s v="ORD0357"/>
    <s v="2025-09-19"/>
    <x v="5"/>
    <n v="2025"/>
    <s v="Wanda Mckenzie"/>
    <x v="3"/>
    <x v="0"/>
    <x v="9"/>
    <n v="36397"/>
    <n v="1"/>
    <n v="10847.14"/>
  </r>
  <r>
    <s v="ORD0358"/>
    <s v="2025-02-08"/>
    <x v="1"/>
    <n v="2025"/>
    <s v="Benjamin Wilson"/>
    <x v="5"/>
    <x v="3"/>
    <x v="6"/>
    <n v="3968.81"/>
    <n v="10"/>
    <n v="318.11"/>
  </r>
  <r>
    <s v="ORD0359"/>
    <s v="2025-03-07"/>
    <x v="2"/>
    <n v="2025"/>
    <s v="Kelly Hooper"/>
    <x v="5"/>
    <x v="3"/>
    <x v="11"/>
    <n v="35648.35"/>
    <n v="5"/>
    <n v="9847.84"/>
  </r>
  <r>
    <s v="ORD0360"/>
    <s v="2025-09-13"/>
    <x v="5"/>
    <n v="2025"/>
    <s v="Luke Lang"/>
    <x v="4"/>
    <x v="3"/>
    <x v="6"/>
    <n v="37229.39"/>
    <n v="8"/>
    <n v="1789.26"/>
  </r>
  <r>
    <s v="ORD0361"/>
    <s v="2025-10-30"/>
    <x v="3"/>
    <n v="2025"/>
    <s v="Pamela Berry"/>
    <x v="0"/>
    <x v="0"/>
    <x v="10"/>
    <n v="9042.5"/>
    <n v="4"/>
    <n v="-440.3"/>
  </r>
  <r>
    <s v="ORD0362"/>
    <s v="2025-04-24"/>
    <x v="9"/>
    <n v="2025"/>
    <s v="Michael Mclaughlin"/>
    <x v="1"/>
    <x v="1"/>
    <x v="1"/>
    <n v="44633.52"/>
    <n v="3"/>
    <n v="1633.67"/>
  </r>
  <r>
    <s v="ORD0363"/>
    <s v="2025-03-29"/>
    <x v="2"/>
    <n v="2025"/>
    <s v="Susan Scott"/>
    <x v="2"/>
    <x v="3"/>
    <x v="11"/>
    <n v="40793.519999999997"/>
    <n v="2"/>
    <n v="7045.27"/>
  </r>
  <r>
    <s v="ORD0364"/>
    <s v="2025-06-07"/>
    <x v="0"/>
    <n v="2025"/>
    <s v="Claire Poole"/>
    <x v="2"/>
    <x v="0"/>
    <x v="9"/>
    <n v="39344.370000000003"/>
    <n v="10"/>
    <n v="344.78"/>
  </r>
  <r>
    <s v="ORD0365"/>
    <s v="2025-03-24"/>
    <x v="2"/>
    <n v="2025"/>
    <s v="Katie Carson"/>
    <x v="5"/>
    <x v="0"/>
    <x v="0"/>
    <n v="11172.67"/>
    <n v="3"/>
    <n v="2037.51"/>
  </r>
  <r>
    <s v="ORD0366"/>
    <s v="2025-05-04"/>
    <x v="4"/>
    <n v="2025"/>
    <s v="Erin Robinson"/>
    <x v="0"/>
    <x v="0"/>
    <x v="14"/>
    <n v="15058.37"/>
    <n v="5"/>
    <n v="4516.57"/>
  </r>
  <r>
    <s v="ORD0367"/>
    <s v="2025-12-07"/>
    <x v="11"/>
    <n v="2025"/>
    <s v="Shawn Oliver"/>
    <x v="0"/>
    <x v="0"/>
    <x v="9"/>
    <n v="13202.42"/>
    <n v="2"/>
    <n v="-283.39"/>
  </r>
  <r>
    <s v="ORD0368"/>
    <s v="2025-12-29"/>
    <x v="11"/>
    <n v="2025"/>
    <s v="Patrick Gonzalez"/>
    <x v="4"/>
    <x v="3"/>
    <x v="6"/>
    <n v="3663.19"/>
    <n v="6"/>
    <n v="-168.91"/>
  </r>
  <r>
    <s v="ORD0369"/>
    <s v="2025-01-05"/>
    <x v="8"/>
    <n v="2025"/>
    <s v="Belinda Johnson"/>
    <x v="2"/>
    <x v="1"/>
    <x v="12"/>
    <n v="22239"/>
    <n v="3"/>
    <n v="2578.33"/>
  </r>
  <r>
    <s v="ORD0370"/>
    <s v="2025-08-10"/>
    <x v="6"/>
    <n v="2025"/>
    <s v="Alexander Thomas"/>
    <x v="0"/>
    <x v="2"/>
    <x v="19"/>
    <n v="24274.43"/>
    <n v="3"/>
    <n v="3332.54"/>
  </r>
  <r>
    <s v="ORD0371"/>
    <s v="2025-06-01"/>
    <x v="0"/>
    <n v="2025"/>
    <s v="Austin Stephens"/>
    <x v="3"/>
    <x v="2"/>
    <x v="16"/>
    <n v="20946.95"/>
    <n v="9"/>
    <n v="4184.3"/>
  </r>
  <r>
    <s v="ORD0372"/>
    <s v="2025-07-21"/>
    <x v="7"/>
    <n v="2025"/>
    <s v="Derrick Lynch"/>
    <x v="1"/>
    <x v="3"/>
    <x v="13"/>
    <n v="13731.62"/>
    <n v="8"/>
    <n v="1547.82"/>
  </r>
  <r>
    <s v="ORD0373"/>
    <s v="2025-05-19"/>
    <x v="4"/>
    <n v="2025"/>
    <s v="Jessica Allen"/>
    <x v="3"/>
    <x v="1"/>
    <x v="1"/>
    <n v="13358.18"/>
    <n v="6"/>
    <n v="761.85"/>
  </r>
  <r>
    <s v="ORD0374"/>
    <s v="2025-09-19"/>
    <x v="5"/>
    <n v="2025"/>
    <s v="Melissa Anderson"/>
    <x v="5"/>
    <x v="0"/>
    <x v="0"/>
    <n v="12525.46"/>
    <n v="4"/>
    <n v="171.43"/>
  </r>
  <r>
    <s v="ORD0375"/>
    <s v="2025-01-04"/>
    <x v="8"/>
    <n v="2025"/>
    <s v="Madison Mejia"/>
    <x v="3"/>
    <x v="1"/>
    <x v="12"/>
    <n v="22818.89"/>
    <n v="10"/>
    <n v="-1041.01"/>
  </r>
  <r>
    <s v="ORD0376"/>
    <s v="2025-06-14"/>
    <x v="0"/>
    <n v="2025"/>
    <s v="Shannon Gregory"/>
    <x v="1"/>
    <x v="2"/>
    <x v="19"/>
    <n v="23822.11"/>
    <n v="10"/>
    <n v="2267.5"/>
  </r>
  <r>
    <s v="ORD0377"/>
    <s v="2025-01-25"/>
    <x v="8"/>
    <n v="2025"/>
    <s v="James Clark"/>
    <x v="2"/>
    <x v="3"/>
    <x v="6"/>
    <n v="2994.01"/>
    <n v="4"/>
    <n v="487.17"/>
  </r>
  <r>
    <s v="ORD0378"/>
    <s v="2025-02-16"/>
    <x v="1"/>
    <n v="2025"/>
    <s v="Carolyn Anderson"/>
    <x v="2"/>
    <x v="3"/>
    <x v="11"/>
    <n v="48694.25"/>
    <n v="1"/>
    <n v="1175"/>
  </r>
  <r>
    <s v="ORD0379"/>
    <s v="2025-07-18"/>
    <x v="7"/>
    <n v="2025"/>
    <s v="Matthew Collins"/>
    <x v="2"/>
    <x v="0"/>
    <x v="0"/>
    <n v="2943.92"/>
    <n v="4"/>
    <n v="408.2"/>
  </r>
  <r>
    <s v="ORD0380"/>
    <s v="2025-08-09"/>
    <x v="6"/>
    <n v="2025"/>
    <s v="Caleb Martin"/>
    <x v="3"/>
    <x v="2"/>
    <x v="19"/>
    <n v="18421.05"/>
    <n v="10"/>
    <n v="2629.73"/>
  </r>
  <r>
    <s v="ORD0381"/>
    <s v="2025-06-02"/>
    <x v="0"/>
    <n v="2025"/>
    <s v="Jennifer Decker"/>
    <x v="3"/>
    <x v="2"/>
    <x v="16"/>
    <n v="24622.29"/>
    <n v="3"/>
    <n v="3635.07"/>
  </r>
  <r>
    <s v="ORD0382"/>
    <s v="2025-10-19"/>
    <x v="3"/>
    <n v="2025"/>
    <s v="Phyllis Riley"/>
    <x v="0"/>
    <x v="3"/>
    <x v="11"/>
    <n v="37567.54"/>
    <n v="7"/>
    <n v="3460.44"/>
  </r>
  <r>
    <s v="ORD0383"/>
    <s v="2025-05-26"/>
    <x v="4"/>
    <n v="2025"/>
    <s v="Chelsea Reilly"/>
    <x v="1"/>
    <x v="0"/>
    <x v="10"/>
    <n v="18549.669999999998"/>
    <n v="2"/>
    <n v="-439.49"/>
  </r>
  <r>
    <s v="ORD0384"/>
    <s v="2025-01-15"/>
    <x v="8"/>
    <n v="2025"/>
    <s v="Joyce Edwards"/>
    <x v="5"/>
    <x v="1"/>
    <x v="1"/>
    <n v="22580.48"/>
    <n v="1"/>
    <n v="1017.23"/>
  </r>
  <r>
    <s v="ORD0385"/>
    <s v="2025-02-17"/>
    <x v="1"/>
    <n v="2025"/>
    <s v="Evan Rivera"/>
    <x v="1"/>
    <x v="0"/>
    <x v="0"/>
    <n v="36905.86"/>
    <n v="5"/>
    <n v="-1621.9"/>
  </r>
  <r>
    <s v="ORD0386"/>
    <s v="2025-05-01"/>
    <x v="4"/>
    <n v="2025"/>
    <s v="Kayla White"/>
    <x v="5"/>
    <x v="0"/>
    <x v="3"/>
    <n v="38471.79"/>
    <n v="2"/>
    <n v="-88.8"/>
  </r>
  <r>
    <s v="ORD0387"/>
    <s v="2025-06-11"/>
    <x v="0"/>
    <n v="2025"/>
    <s v="Amy Howell"/>
    <x v="3"/>
    <x v="2"/>
    <x v="16"/>
    <n v="33353.56"/>
    <n v="9"/>
    <n v="4122.8900000000003"/>
  </r>
  <r>
    <s v="ORD0388"/>
    <s v="2025-06-29"/>
    <x v="0"/>
    <n v="2025"/>
    <s v="Savannah Wright"/>
    <x v="1"/>
    <x v="0"/>
    <x v="3"/>
    <n v="11486.31"/>
    <n v="3"/>
    <n v="1419.27"/>
  </r>
  <r>
    <s v="ORD0389"/>
    <s v="2025-07-04"/>
    <x v="7"/>
    <n v="2025"/>
    <s v="Tamara Smith"/>
    <x v="5"/>
    <x v="2"/>
    <x v="17"/>
    <n v="45485.49"/>
    <n v="1"/>
    <n v="6723.61"/>
  </r>
  <r>
    <s v="ORD0390"/>
    <s v="2025-05-03"/>
    <x v="4"/>
    <n v="2025"/>
    <s v="Kathleen Webster"/>
    <x v="5"/>
    <x v="0"/>
    <x v="10"/>
    <n v="36935.800000000003"/>
    <n v="1"/>
    <n v="10542.65"/>
  </r>
  <r>
    <s v="ORD0391"/>
    <s v="2025-09-23"/>
    <x v="5"/>
    <n v="2025"/>
    <s v="Andrew Dixon PhD"/>
    <x v="1"/>
    <x v="1"/>
    <x v="8"/>
    <n v="28285.41"/>
    <n v="5"/>
    <n v="-737.22"/>
  </r>
  <r>
    <s v="ORD0392"/>
    <s v="2025-04-19"/>
    <x v="9"/>
    <n v="2025"/>
    <s v="Michael Evans"/>
    <x v="3"/>
    <x v="2"/>
    <x v="19"/>
    <n v="1732.66"/>
    <n v="5"/>
    <n v="477.01"/>
  </r>
  <r>
    <s v="ORD0393"/>
    <s v="2025-07-25"/>
    <x v="7"/>
    <n v="2025"/>
    <s v="Sharon Murphy"/>
    <x v="3"/>
    <x v="3"/>
    <x v="15"/>
    <n v="30119.63"/>
    <n v="8"/>
    <n v="-425.06"/>
  </r>
  <r>
    <s v="ORD0394"/>
    <s v="2025-07-11"/>
    <x v="7"/>
    <n v="2025"/>
    <s v="Lisa Curtis"/>
    <x v="1"/>
    <x v="0"/>
    <x v="9"/>
    <n v="7330.82"/>
    <n v="6"/>
    <n v="1764.58"/>
  </r>
  <r>
    <s v="ORD0395"/>
    <s v="2025-10-19"/>
    <x v="3"/>
    <n v="2025"/>
    <s v="Thomas Leach"/>
    <x v="1"/>
    <x v="3"/>
    <x v="11"/>
    <n v="33618.239999999998"/>
    <n v="10"/>
    <n v="-809.74"/>
  </r>
  <r>
    <s v="ORD0396"/>
    <s v="2025-07-22"/>
    <x v="7"/>
    <n v="2025"/>
    <s v="David Hill"/>
    <x v="0"/>
    <x v="3"/>
    <x v="6"/>
    <n v="40171.32"/>
    <n v="2"/>
    <n v="-1382.43"/>
  </r>
  <r>
    <s v="ORD0397"/>
    <s v="2025-09-03"/>
    <x v="5"/>
    <n v="2025"/>
    <s v="Bryan Martinez"/>
    <x v="1"/>
    <x v="0"/>
    <x v="10"/>
    <n v="6025.74"/>
    <n v="9"/>
    <n v="-299.54000000000002"/>
  </r>
  <r>
    <s v="ORD0398"/>
    <s v="2025-12-13"/>
    <x v="11"/>
    <n v="2025"/>
    <s v="Carla Walls"/>
    <x v="6"/>
    <x v="2"/>
    <x v="19"/>
    <n v="35580.44"/>
    <n v="6"/>
    <n v="4932.92"/>
  </r>
  <r>
    <s v="ORD0399"/>
    <s v="2025-02-24"/>
    <x v="1"/>
    <n v="2025"/>
    <s v="Sara Foley"/>
    <x v="4"/>
    <x v="3"/>
    <x v="6"/>
    <n v="45971.9"/>
    <n v="1"/>
    <n v="5263.02"/>
  </r>
  <r>
    <s v="ORD0400"/>
    <s v="2025-03-09"/>
    <x v="2"/>
    <n v="2025"/>
    <s v="Christopher Gallagher"/>
    <x v="4"/>
    <x v="0"/>
    <x v="9"/>
    <n v="16563.12"/>
    <n v="4"/>
    <n v="1705.55"/>
  </r>
  <r>
    <s v="ORD0401"/>
    <s v="2025-08-20"/>
    <x v="6"/>
    <n v="2025"/>
    <s v="Kyle Baxter"/>
    <x v="3"/>
    <x v="0"/>
    <x v="9"/>
    <n v="36641.919999999998"/>
    <n v="8"/>
    <n v="6674.41"/>
  </r>
  <r>
    <s v="ORD0402"/>
    <s v="2025-12-18"/>
    <x v="11"/>
    <n v="2025"/>
    <s v="Andrew Parker"/>
    <x v="6"/>
    <x v="0"/>
    <x v="14"/>
    <n v="45263.61"/>
    <n v="7"/>
    <n v="-98.29"/>
  </r>
  <r>
    <s v="ORD0403"/>
    <s v="2025-10-15"/>
    <x v="3"/>
    <n v="2025"/>
    <s v="Pamela Watson"/>
    <x v="1"/>
    <x v="1"/>
    <x v="7"/>
    <n v="3281.69"/>
    <n v="5"/>
    <n v="921.59"/>
  </r>
  <r>
    <s v="ORD0404"/>
    <s v="2025-08-14"/>
    <x v="6"/>
    <n v="2025"/>
    <s v="Zachary Johnson"/>
    <x v="0"/>
    <x v="0"/>
    <x v="9"/>
    <n v="33687.18"/>
    <n v="3"/>
    <n v="335.26"/>
  </r>
  <r>
    <s v="ORD0405"/>
    <s v="2025-11-13"/>
    <x v="10"/>
    <n v="2025"/>
    <s v="Valerie Yu"/>
    <x v="5"/>
    <x v="0"/>
    <x v="10"/>
    <n v="17728.169999999998"/>
    <n v="4"/>
    <n v="2666.5"/>
  </r>
  <r>
    <s v="ORD0406"/>
    <s v="2025-03-03"/>
    <x v="2"/>
    <n v="2025"/>
    <s v="Christopher Ward"/>
    <x v="0"/>
    <x v="1"/>
    <x v="12"/>
    <n v="20729.96"/>
    <n v="6"/>
    <n v="2421.59"/>
  </r>
  <r>
    <s v="ORD0407"/>
    <s v="2025-12-24"/>
    <x v="11"/>
    <n v="2025"/>
    <s v="Sherry Burton"/>
    <x v="2"/>
    <x v="1"/>
    <x v="1"/>
    <n v="26829.67"/>
    <n v="8"/>
    <n v="3689.25"/>
  </r>
  <r>
    <s v="ORD0408"/>
    <s v="2025-05-15"/>
    <x v="4"/>
    <n v="2025"/>
    <s v="Kathleen Ford"/>
    <x v="0"/>
    <x v="1"/>
    <x v="1"/>
    <n v="5822.58"/>
    <n v="2"/>
    <n v="664.85"/>
  </r>
  <r>
    <s v="ORD0409"/>
    <s v="2025-09-09"/>
    <x v="5"/>
    <n v="2025"/>
    <s v="Amanda Peters"/>
    <x v="4"/>
    <x v="3"/>
    <x v="18"/>
    <n v="26950.73"/>
    <n v="6"/>
    <n v="1167.31"/>
  </r>
  <r>
    <s v="ORD0410"/>
    <s v="2025-09-03"/>
    <x v="5"/>
    <n v="2025"/>
    <s v="Christine Wyatt"/>
    <x v="5"/>
    <x v="0"/>
    <x v="14"/>
    <n v="41940.86"/>
    <n v="10"/>
    <n v="3777.21"/>
  </r>
  <r>
    <s v="ORD0411"/>
    <s v="2025-12-13"/>
    <x v="11"/>
    <n v="2025"/>
    <s v="Tonya Holloway"/>
    <x v="6"/>
    <x v="0"/>
    <x v="10"/>
    <n v="11250.53"/>
    <n v="6"/>
    <n v="1894.49"/>
  </r>
  <r>
    <s v="ORD0412"/>
    <s v="2025-03-12"/>
    <x v="2"/>
    <n v="2025"/>
    <s v="Ana Burns"/>
    <x v="1"/>
    <x v="3"/>
    <x v="15"/>
    <n v="7736.33"/>
    <n v="7"/>
    <n v="-292.26"/>
  </r>
  <r>
    <s v="ORD0413"/>
    <s v="2025-05-03"/>
    <x v="4"/>
    <n v="2025"/>
    <s v="Robert Howard"/>
    <x v="3"/>
    <x v="1"/>
    <x v="7"/>
    <n v="44365.96"/>
    <n v="1"/>
    <n v="8707.08"/>
  </r>
  <r>
    <s v="ORD0414"/>
    <s v="2025-01-10"/>
    <x v="8"/>
    <n v="2025"/>
    <s v="Gregory Mccarthy"/>
    <x v="5"/>
    <x v="2"/>
    <x v="19"/>
    <n v="46644.1"/>
    <n v="5"/>
    <n v="8115.69"/>
  </r>
  <r>
    <s v="ORD0415"/>
    <s v="2025-02-02"/>
    <x v="1"/>
    <n v="2025"/>
    <s v="Mrs. Gabrielle Roberson"/>
    <x v="5"/>
    <x v="1"/>
    <x v="8"/>
    <n v="37245.199999999997"/>
    <n v="2"/>
    <n v="9744.9"/>
  </r>
  <r>
    <s v="ORD0416"/>
    <s v="2025-11-14"/>
    <x v="10"/>
    <n v="2025"/>
    <s v="Cynthia Hamilton"/>
    <x v="4"/>
    <x v="2"/>
    <x v="17"/>
    <n v="48300.34"/>
    <n v="6"/>
    <n v="2524.65"/>
  </r>
  <r>
    <s v="ORD0417"/>
    <s v="2025-10-30"/>
    <x v="3"/>
    <n v="2025"/>
    <s v="Sarah Clark"/>
    <x v="6"/>
    <x v="0"/>
    <x v="14"/>
    <n v="45981.55"/>
    <n v="6"/>
    <n v="2965.16"/>
  </r>
  <r>
    <s v="ORD0418"/>
    <s v="2025-03-21"/>
    <x v="2"/>
    <n v="2025"/>
    <s v="Mike Foley"/>
    <x v="5"/>
    <x v="3"/>
    <x v="18"/>
    <n v="9161.77"/>
    <n v="3"/>
    <n v="760.2"/>
  </r>
  <r>
    <s v="ORD0419"/>
    <s v="2025-07-10"/>
    <x v="7"/>
    <n v="2025"/>
    <s v="Troy Cain"/>
    <x v="2"/>
    <x v="3"/>
    <x v="11"/>
    <n v="32772.26"/>
    <n v="10"/>
    <n v="3085.77"/>
  </r>
  <r>
    <s v="ORD0420"/>
    <s v="2025-08-08"/>
    <x v="6"/>
    <n v="2025"/>
    <s v="Yolanda Andrade"/>
    <x v="3"/>
    <x v="3"/>
    <x v="11"/>
    <n v="12739.77"/>
    <n v="4"/>
    <n v="394.13"/>
  </r>
  <r>
    <s v="ORD0421"/>
    <s v="2025-06-25"/>
    <x v="0"/>
    <n v="2025"/>
    <s v="Ryan Keller"/>
    <x v="0"/>
    <x v="3"/>
    <x v="13"/>
    <n v="35075.019999999997"/>
    <n v="10"/>
    <n v="3334.86"/>
  </r>
  <r>
    <s v="ORD0422"/>
    <s v="2025-06-18"/>
    <x v="0"/>
    <n v="2025"/>
    <s v="Kelly Vaughan MD"/>
    <x v="5"/>
    <x v="2"/>
    <x v="2"/>
    <n v="25607.91"/>
    <n v="3"/>
    <n v="7158.59"/>
  </r>
  <r>
    <s v="ORD0423"/>
    <s v="2025-03-08"/>
    <x v="2"/>
    <n v="2025"/>
    <s v="William Ellis"/>
    <x v="4"/>
    <x v="2"/>
    <x v="16"/>
    <n v="11082.55"/>
    <n v="2"/>
    <n v="180.55"/>
  </r>
  <r>
    <s v="ORD0424"/>
    <s v="2025-04-12"/>
    <x v="9"/>
    <n v="2025"/>
    <s v="Carrie Glover"/>
    <x v="4"/>
    <x v="0"/>
    <x v="14"/>
    <n v="36606.04"/>
    <n v="1"/>
    <n v="8241.36"/>
  </r>
  <r>
    <s v="ORD0425"/>
    <s v="2025-04-01"/>
    <x v="9"/>
    <n v="2025"/>
    <s v="Mr. Paul Johnson"/>
    <x v="6"/>
    <x v="1"/>
    <x v="4"/>
    <n v="7450.2"/>
    <n v="10"/>
    <n v="1926.63"/>
  </r>
  <r>
    <s v="ORD0426"/>
    <s v="2025-11-05"/>
    <x v="10"/>
    <n v="2025"/>
    <s v="Thomas Andrade"/>
    <x v="1"/>
    <x v="2"/>
    <x v="19"/>
    <n v="43330.06"/>
    <n v="1"/>
    <n v="11746.77"/>
  </r>
  <r>
    <s v="ORD0427"/>
    <s v="2025-07-28"/>
    <x v="7"/>
    <n v="2025"/>
    <s v="Bianca Suarez"/>
    <x v="1"/>
    <x v="2"/>
    <x v="17"/>
    <n v="33870.89"/>
    <n v="1"/>
    <n v="2839.08"/>
  </r>
  <r>
    <s v="ORD0428"/>
    <s v="2025-10-10"/>
    <x v="3"/>
    <n v="2025"/>
    <s v="Ashley Prince"/>
    <x v="5"/>
    <x v="0"/>
    <x v="10"/>
    <n v="8451.06"/>
    <n v="5"/>
    <n v="580.66999999999996"/>
  </r>
  <r>
    <s v="ORD0429"/>
    <s v="2025-05-14"/>
    <x v="4"/>
    <n v="2025"/>
    <s v="Christopher Murphy"/>
    <x v="5"/>
    <x v="3"/>
    <x v="11"/>
    <n v="18059.43"/>
    <n v="7"/>
    <n v="283.57"/>
  </r>
  <r>
    <s v="ORD0430"/>
    <s v="2025-05-09"/>
    <x v="4"/>
    <n v="2025"/>
    <s v="Andrew Joyce"/>
    <x v="6"/>
    <x v="3"/>
    <x v="13"/>
    <n v="25677.23"/>
    <n v="10"/>
    <n v="7693.11"/>
  </r>
  <r>
    <s v="ORD0431"/>
    <s v="2025-05-29"/>
    <x v="4"/>
    <n v="2025"/>
    <s v="Todd Smith"/>
    <x v="6"/>
    <x v="3"/>
    <x v="18"/>
    <n v="17958.240000000002"/>
    <n v="5"/>
    <n v="2724.67"/>
  </r>
  <r>
    <s v="ORD0432"/>
    <s v="2025-10-22"/>
    <x v="3"/>
    <n v="2025"/>
    <s v="Michelle Parsons"/>
    <x v="0"/>
    <x v="1"/>
    <x v="12"/>
    <n v="28340.6"/>
    <n v="7"/>
    <n v="1609.02"/>
  </r>
  <r>
    <s v="ORD0433"/>
    <s v="2025-07-25"/>
    <x v="7"/>
    <n v="2025"/>
    <s v="Stephanie Williams"/>
    <x v="6"/>
    <x v="2"/>
    <x v="17"/>
    <n v="41856.519999999997"/>
    <n v="1"/>
    <n v="5347.7"/>
  </r>
  <r>
    <s v="ORD0434"/>
    <s v="2025-06-06"/>
    <x v="0"/>
    <n v="2025"/>
    <s v="Rebecca Dixon"/>
    <x v="0"/>
    <x v="2"/>
    <x v="2"/>
    <n v="31297.22"/>
    <n v="6"/>
    <n v="7676.68"/>
  </r>
  <r>
    <s v="ORD0435"/>
    <s v="2025-10-22"/>
    <x v="3"/>
    <n v="2025"/>
    <s v="Cameron Ramirez"/>
    <x v="2"/>
    <x v="3"/>
    <x v="18"/>
    <n v="22657.16"/>
    <n v="8"/>
    <n v="529.47"/>
  </r>
  <r>
    <s v="ORD0436"/>
    <s v="2025-12-07"/>
    <x v="11"/>
    <n v="2025"/>
    <s v="Tiffany Jones"/>
    <x v="5"/>
    <x v="1"/>
    <x v="12"/>
    <n v="23794.41"/>
    <n v="8"/>
    <n v="2209.98"/>
  </r>
  <r>
    <s v="ORD0437"/>
    <s v="2025-10-07"/>
    <x v="3"/>
    <n v="2025"/>
    <s v="Rebecca Chavez"/>
    <x v="4"/>
    <x v="2"/>
    <x v="2"/>
    <n v="49113.56"/>
    <n v="10"/>
    <n v="3013.92"/>
  </r>
  <r>
    <s v="ORD0438"/>
    <s v="2025-08-16"/>
    <x v="6"/>
    <n v="2025"/>
    <s v="Jose Gillespie"/>
    <x v="6"/>
    <x v="2"/>
    <x v="19"/>
    <n v="17310.53"/>
    <n v="1"/>
    <n v="-809.91"/>
  </r>
  <r>
    <s v="ORD0439"/>
    <s v="2025-12-17"/>
    <x v="11"/>
    <n v="2025"/>
    <s v="Mariah Owens"/>
    <x v="6"/>
    <x v="1"/>
    <x v="12"/>
    <n v="583.42999999999995"/>
    <n v="9"/>
    <n v="80.290000000000006"/>
  </r>
  <r>
    <s v="ORD0440"/>
    <s v="2025-05-02"/>
    <x v="4"/>
    <n v="2025"/>
    <s v="Jared Leonard"/>
    <x v="1"/>
    <x v="2"/>
    <x v="16"/>
    <n v="48407.67"/>
    <n v="8"/>
    <n v="7107.57"/>
  </r>
  <r>
    <s v="ORD0441"/>
    <s v="2025-07-18"/>
    <x v="7"/>
    <n v="2025"/>
    <s v="Roger Ford"/>
    <x v="1"/>
    <x v="1"/>
    <x v="7"/>
    <n v="19667.95"/>
    <n v="4"/>
    <n v="4824.4799999999996"/>
  </r>
  <r>
    <s v="ORD0442"/>
    <s v="2025-05-22"/>
    <x v="4"/>
    <n v="2025"/>
    <s v="Kimberly Potter"/>
    <x v="5"/>
    <x v="1"/>
    <x v="7"/>
    <n v="15774.73"/>
    <n v="2"/>
    <n v="1091.92"/>
  </r>
  <r>
    <s v="ORD0443"/>
    <s v="2025-04-27"/>
    <x v="9"/>
    <n v="2025"/>
    <s v="Ross Gonzales"/>
    <x v="5"/>
    <x v="3"/>
    <x v="6"/>
    <n v="1175.92"/>
    <n v="9"/>
    <n v="291.24"/>
  </r>
  <r>
    <s v="ORD0444"/>
    <s v="2025-03-11"/>
    <x v="2"/>
    <n v="2025"/>
    <s v="Christopher Solis"/>
    <x v="5"/>
    <x v="3"/>
    <x v="15"/>
    <n v="23442.89"/>
    <n v="6"/>
    <n v="3395.1"/>
  </r>
  <r>
    <s v="ORD0445"/>
    <s v="2025-06-22"/>
    <x v="0"/>
    <n v="2025"/>
    <s v="Joshua Mccarty"/>
    <x v="4"/>
    <x v="0"/>
    <x v="0"/>
    <n v="7081.68"/>
    <n v="2"/>
    <n v="239.22"/>
  </r>
  <r>
    <s v="ORD0446"/>
    <s v="2025-01-08"/>
    <x v="8"/>
    <n v="2025"/>
    <s v="Mark Martin"/>
    <x v="3"/>
    <x v="2"/>
    <x v="5"/>
    <n v="4834.54"/>
    <n v="9"/>
    <n v="473.79"/>
  </r>
  <r>
    <s v="ORD0447"/>
    <s v="2025-07-31"/>
    <x v="7"/>
    <n v="2025"/>
    <s v="James Anderson"/>
    <x v="1"/>
    <x v="0"/>
    <x v="0"/>
    <n v="11364.29"/>
    <n v="8"/>
    <n v="2967.56"/>
  </r>
  <r>
    <s v="ORD0448"/>
    <s v="2025-09-21"/>
    <x v="5"/>
    <n v="2025"/>
    <s v="Steven Kirk"/>
    <x v="2"/>
    <x v="2"/>
    <x v="2"/>
    <n v="10239.68"/>
    <n v="9"/>
    <n v="-106.29"/>
  </r>
  <r>
    <s v="ORD0449"/>
    <s v="2025-12-24"/>
    <x v="11"/>
    <n v="2025"/>
    <s v="Chelsey Gates"/>
    <x v="4"/>
    <x v="2"/>
    <x v="17"/>
    <n v="30217.759999999998"/>
    <n v="3"/>
    <n v="3172.98"/>
  </r>
  <r>
    <s v="ORD0450"/>
    <s v="2025-08-13"/>
    <x v="6"/>
    <n v="2025"/>
    <s v="Jacob Pineda"/>
    <x v="6"/>
    <x v="0"/>
    <x v="10"/>
    <n v="3384.03"/>
    <n v="10"/>
    <n v="392.36"/>
  </r>
  <r>
    <s v="ORD0451"/>
    <s v="2025-05-19"/>
    <x v="4"/>
    <n v="2025"/>
    <s v="Mark Peterson"/>
    <x v="2"/>
    <x v="2"/>
    <x v="2"/>
    <n v="18222.59"/>
    <n v="9"/>
    <n v="998.18"/>
  </r>
  <r>
    <s v="ORD0452"/>
    <s v="2025-03-13"/>
    <x v="2"/>
    <n v="2025"/>
    <s v="Benjamin Caldwell"/>
    <x v="2"/>
    <x v="1"/>
    <x v="12"/>
    <n v="44138.57"/>
    <n v="4"/>
    <n v="10772.63"/>
  </r>
  <r>
    <s v="ORD0453"/>
    <s v="2025-03-14"/>
    <x v="2"/>
    <n v="2025"/>
    <s v="Jacob West"/>
    <x v="4"/>
    <x v="0"/>
    <x v="10"/>
    <n v="39816.720000000001"/>
    <n v="5"/>
    <n v="239.2"/>
  </r>
  <r>
    <s v="ORD0454"/>
    <s v="2025-04-15"/>
    <x v="9"/>
    <n v="2025"/>
    <s v="Samuel Martinez"/>
    <x v="1"/>
    <x v="1"/>
    <x v="8"/>
    <n v="13305.12"/>
    <n v="4"/>
    <n v="3006.16"/>
  </r>
  <r>
    <s v="ORD0455"/>
    <s v="2025-05-27"/>
    <x v="4"/>
    <n v="2025"/>
    <s v="Robert Case"/>
    <x v="0"/>
    <x v="0"/>
    <x v="3"/>
    <n v="1275.99"/>
    <n v="3"/>
    <n v="368.17"/>
  </r>
  <r>
    <s v="ORD0456"/>
    <s v="2025-05-02"/>
    <x v="4"/>
    <n v="2025"/>
    <s v="Jamie Waters"/>
    <x v="1"/>
    <x v="0"/>
    <x v="14"/>
    <n v="4453.22"/>
    <n v="7"/>
    <n v="411"/>
  </r>
  <r>
    <s v="ORD0457"/>
    <s v="2025-06-24"/>
    <x v="0"/>
    <n v="2025"/>
    <s v="Devin Stewart"/>
    <x v="6"/>
    <x v="1"/>
    <x v="1"/>
    <n v="10621.28"/>
    <n v="10"/>
    <n v="2876.81"/>
  </r>
  <r>
    <s v="ORD0458"/>
    <s v="2025-06-27"/>
    <x v="0"/>
    <n v="2025"/>
    <s v="Kylie Miller"/>
    <x v="5"/>
    <x v="3"/>
    <x v="11"/>
    <n v="30977.96"/>
    <n v="6"/>
    <n v="4275.34"/>
  </r>
  <r>
    <s v="ORD0459"/>
    <s v="2025-12-10"/>
    <x v="11"/>
    <n v="2025"/>
    <s v="Joan White"/>
    <x v="2"/>
    <x v="0"/>
    <x v="3"/>
    <n v="35238.15"/>
    <n v="3"/>
    <n v="8495.9500000000007"/>
  </r>
  <r>
    <s v="ORD0460"/>
    <s v="2025-09-08"/>
    <x v="5"/>
    <n v="2025"/>
    <s v="Derek Smith"/>
    <x v="4"/>
    <x v="2"/>
    <x v="16"/>
    <n v="34124.9"/>
    <n v="10"/>
    <n v="284.54000000000002"/>
  </r>
  <r>
    <s v="ORD0461"/>
    <s v="2025-04-11"/>
    <x v="9"/>
    <n v="2025"/>
    <s v="Stanley Dougherty"/>
    <x v="4"/>
    <x v="2"/>
    <x v="19"/>
    <n v="36031.129999999997"/>
    <n v="5"/>
    <n v="1012.5"/>
  </r>
  <r>
    <s v="ORD0462"/>
    <s v="2025-04-22"/>
    <x v="9"/>
    <n v="2025"/>
    <s v="Kristin Rodriguez"/>
    <x v="5"/>
    <x v="1"/>
    <x v="1"/>
    <n v="34127.79"/>
    <n v="6"/>
    <n v="1975.89"/>
  </r>
  <r>
    <s v="ORD0463"/>
    <s v="2025-11-20"/>
    <x v="10"/>
    <n v="2025"/>
    <s v="Tyler Walker"/>
    <x v="6"/>
    <x v="2"/>
    <x v="17"/>
    <n v="49831.93"/>
    <n v="5"/>
    <n v="4754.6000000000004"/>
  </r>
  <r>
    <s v="ORD0464"/>
    <s v="2025-07-28"/>
    <x v="7"/>
    <n v="2025"/>
    <s v="William Garner Jr."/>
    <x v="3"/>
    <x v="1"/>
    <x v="8"/>
    <n v="9338.42"/>
    <n v="8"/>
    <n v="912.2"/>
  </r>
  <r>
    <s v="ORD0465"/>
    <s v="2025-04-17"/>
    <x v="9"/>
    <n v="2025"/>
    <s v="Daniel Alvarez"/>
    <x v="1"/>
    <x v="0"/>
    <x v="10"/>
    <n v="24604.99"/>
    <n v="10"/>
    <n v="294.14"/>
  </r>
  <r>
    <s v="ORD0466"/>
    <s v="2025-04-12"/>
    <x v="9"/>
    <n v="2025"/>
    <s v="Kaitlyn Daniels"/>
    <x v="6"/>
    <x v="3"/>
    <x v="18"/>
    <n v="42608.55"/>
    <n v="5"/>
    <n v="1770.28"/>
  </r>
  <r>
    <s v="ORD0467"/>
    <s v="2025-10-10"/>
    <x v="3"/>
    <n v="2025"/>
    <s v="Rachel Morse"/>
    <x v="2"/>
    <x v="1"/>
    <x v="8"/>
    <n v="13488.88"/>
    <n v="8"/>
    <n v="723.45"/>
  </r>
  <r>
    <s v="ORD0468"/>
    <s v="2025-12-21"/>
    <x v="11"/>
    <n v="2025"/>
    <s v="Leslie Sutton"/>
    <x v="3"/>
    <x v="3"/>
    <x v="11"/>
    <n v="16882.8"/>
    <n v="4"/>
    <n v="1669.02"/>
  </r>
  <r>
    <s v="ORD0469"/>
    <s v="2025-06-04"/>
    <x v="0"/>
    <n v="2025"/>
    <s v="Shannon Vazquez"/>
    <x v="5"/>
    <x v="1"/>
    <x v="4"/>
    <n v="49269.120000000003"/>
    <n v="8"/>
    <n v="14483.78"/>
  </r>
  <r>
    <s v="ORD0470"/>
    <s v="2025-08-29"/>
    <x v="6"/>
    <n v="2025"/>
    <s v="Russell Roach"/>
    <x v="4"/>
    <x v="3"/>
    <x v="18"/>
    <n v="6967.8"/>
    <n v="3"/>
    <n v="-187.01"/>
  </r>
  <r>
    <s v="ORD0471"/>
    <s v="2025-01-10"/>
    <x v="8"/>
    <n v="2025"/>
    <s v="Nicole Ingram"/>
    <x v="3"/>
    <x v="0"/>
    <x v="0"/>
    <n v="32780.46"/>
    <n v="9"/>
    <n v="2533.06"/>
  </r>
  <r>
    <s v="ORD0472"/>
    <s v="2025-10-18"/>
    <x v="3"/>
    <n v="2025"/>
    <s v="April Campbell"/>
    <x v="3"/>
    <x v="1"/>
    <x v="1"/>
    <n v="35761.67"/>
    <n v="6"/>
    <n v="581.58000000000004"/>
  </r>
  <r>
    <s v="ORD0473"/>
    <s v="2025-02-14"/>
    <x v="1"/>
    <n v="2025"/>
    <s v="Jennifer Edwards"/>
    <x v="5"/>
    <x v="2"/>
    <x v="2"/>
    <n v="7438.6"/>
    <n v="3"/>
    <n v="1241.03"/>
  </r>
  <r>
    <s v="ORD0474"/>
    <s v="2025-09-11"/>
    <x v="5"/>
    <n v="2025"/>
    <s v="Curtis Richmond"/>
    <x v="2"/>
    <x v="2"/>
    <x v="17"/>
    <n v="16884.580000000002"/>
    <n v="10"/>
    <n v="97.05"/>
  </r>
  <r>
    <s v="ORD0475"/>
    <s v="2025-01-27"/>
    <x v="8"/>
    <n v="2025"/>
    <s v="Alicia Fuller"/>
    <x v="2"/>
    <x v="1"/>
    <x v="4"/>
    <n v="6868.29"/>
    <n v="9"/>
    <n v="1061.71"/>
  </r>
  <r>
    <s v="ORD0476"/>
    <s v="2025-12-30"/>
    <x v="11"/>
    <n v="2025"/>
    <s v="Kyle Jackson"/>
    <x v="6"/>
    <x v="1"/>
    <x v="4"/>
    <n v="29646.36"/>
    <n v="3"/>
    <n v="929.16"/>
  </r>
  <r>
    <s v="ORD0477"/>
    <s v="2025-04-09"/>
    <x v="9"/>
    <n v="2025"/>
    <s v="Cynthia Wong"/>
    <x v="1"/>
    <x v="2"/>
    <x v="19"/>
    <n v="37035.86"/>
    <n v="9"/>
    <n v="-570.98"/>
  </r>
  <r>
    <s v="ORD0478"/>
    <s v="2025-06-07"/>
    <x v="0"/>
    <n v="2025"/>
    <s v="David Mason"/>
    <x v="0"/>
    <x v="3"/>
    <x v="15"/>
    <n v="32136.84"/>
    <n v="6"/>
    <n v="7801.9"/>
  </r>
  <r>
    <s v="ORD0479"/>
    <s v="2025-12-17"/>
    <x v="11"/>
    <n v="2025"/>
    <s v="Angela Hall"/>
    <x v="3"/>
    <x v="3"/>
    <x v="6"/>
    <n v="3171.56"/>
    <n v="6"/>
    <n v="203.51"/>
  </r>
  <r>
    <s v="ORD0480"/>
    <s v="2025-05-07"/>
    <x v="4"/>
    <n v="2025"/>
    <s v="Kelly Garcia"/>
    <x v="1"/>
    <x v="0"/>
    <x v="14"/>
    <n v="1460.52"/>
    <n v="3"/>
    <n v="264.16000000000003"/>
  </r>
  <r>
    <s v="ORD0481"/>
    <s v="2025-01-29"/>
    <x v="8"/>
    <n v="2025"/>
    <s v="Terry Brewer"/>
    <x v="3"/>
    <x v="0"/>
    <x v="14"/>
    <n v="12840.14"/>
    <n v="2"/>
    <n v="3586.05"/>
  </r>
  <r>
    <s v="ORD0482"/>
    <s v="2025-06-03"/>
    <x v="0"/>
    <n v="2025"/>
    <s v="Karen Clark"/>
    <x v="6"/>
    <x v="3"/>
    <x v="13"/>
    <n v="7860.84"/>
    <n v="2"/>
    <n v="1126.46"/>
  </r>
  <r>
    <s v="ORD0483"/>
    <s v="2025-01-20"/>
    <x v="8"/>
    <n v="2025"/>
    <s v="Kelly Turner"/>
    <x v="2"/>
    <x v="0"/>
    <x v="10"/>
    <n v="35156.19"/>
    <n v="9"/>
    <n v="5355.24"/>
  </r>
  <r>
    <s v="ORD0484"/>
    <s v="2025-01-19"/>
    <x v="8"/>
    <n v="2025"/>
    <s v="Stacy Winters"/>
    <x v="4"/>
    <x v="2"/>
    <x v="16"/>
    <n v="28878.02"/>
    <n v="1"/>
    <n v="1753.09"/>
  </r>
  <r>
    <s v="ORD0485"/>
    <s v="2025-11-24"/>
    <x v="10"/>
    <n v="2025"/>
    <s v="Michael Dickson"/>
    <x v="6"/>
    <x v="0"/>
    <x v="10"/>
    <n v="42535.5"/>
    <n v="2"/>
    <n v="-1739.53"/>
  </r>
  <r>
    <s v="ORD0486"/>
    <s v="2025-03-17"/>
    <x v="2"/>
    <n v="2025"/>
    <s v="Jennifer Russell"/>
    <x v="2"/>
    <x v="1"/>
    <x v="4"/>
    <n v="33696.14"/>
    <n v="9"/>
    <n v="6279.17"/>
  </r>
  <r>
    <s v="ORD0487"/>
    <s v="2025-06-21"/>
    <x v="0"/>
    <n v="2025"/>
    <s v="Janet Porter"/>
    <x v="6"/>
    <x v="2"/>
    <x v="19"/>
    <n v="2067.17"/>
    <n v="5"/>
    <n v="378.64"/>
  </r>
  <r>
    <s v="ORD0488"/>
    <s v="2025-01-15"/>
    <x v="8"/>
    <n v="2025"/>
    <s v="Robert Oneill"/>
    <x v="1"/>
    <x v="0"/>
    <x v="3"/>
    <n v="15888.49"/>
    <n v="1"/>
    <n v="4389.1099999999997"/>
  </r>
  <r>
    <s v="ORD0489"/>
    <s v="2025-07-09"/>
    <x v="7"/>
    <n v="2025"/>
    <s v="Eric Avery"/>
    <x v="0"/>
    <x v="0"/>
    <x v="10"/>
    <n v="27432.91"/>
    <n v="5"/>
    <n v="7619.54"/>
  </r>
  <r>
    <s v="ORD0490"/>
    <s v="2025-11-04"/>
    <x v="10"/>
    <n v="2025"/>
    <s v="Stephen Parker"/>
    <x v="4"/>
    <x v="0"/>
    <x v="10"/>
    <n v="20317.310000000001"/>
    <n v="9"/>
    <n v="973.16"/>
  </r>
  <r>
    <s v="ORD0491"/>
    <s v="2025-11-29"/>
    <x v="10"/>
    <n v="2025"/>
    <s v="Stephen Randall"/>
    <x v="3"/>
    <x v="1"/>
    <x v="4"/>
    <n v="19865.830000000002"/>
    <n v="7"/>
    <n v="3451.15"/>
  </r>
  <r>
    <s v="ORD0492"/>
    <s v="2025-09-27"/>
    <x v="5"/>
    <n v="2025"/>
    <s v="Laura Cain"/>
    <x v="2"/>
    <x v="1"/>
    <x v="4"/>
    <n v="9509.7999999999993"/>
    <n v="4"/>
    <n v="2138.35"/>
  </r>
  <r>
    <s v="ORD0493"/>
    <s v="2025-11-24"/>
    <x v="10"/>
    <n v="2025"/>
    <s v="Leon Gardner"/>
    <x v="5"/>
    <x v="3"/>
    <x v="18"/>
    <n v="25437.759999999998"/>
    <n v="9"/>
    <n v="4079"/>
  </r>
  <r>
    <s v="ORD0494"/>
    <s v="2025-01-06"/>
    <x v="8"/>
    <n v="2025"/>
    <s v="James Stein"/>
    <x v="4"/>
    <x v="1"/>
    <x v="4"/>
    <n v="44973.07"/>
    <n v="10"/>
    <n v="6337.7"/>
  </r>
  <r>
    <s v="ORD0495"/>
    <s v="2025-03-26"/>
    <x v="2"/>
    <n v="2025"/>
    <s v="Laura Proctor"/>
    <x v="1"/>
    <x v="2"/>
    <x v="16"/>
    <n v="16862.86"/>
    <n v="10"/>
    <n v="1127.3499999999999"/>
  </r>
  <r>
    <s v="ORD0496"/>
    <s v="2025-11-03"/>
    <x v="10"/>
    <n v="2025"/>
    <s v="Stephanie Marsh"/>
    <x v="5"/>
    <x v="2"/>
    <x v="2"/>
    <n v="530.83000000000004"/>
    <n v="5"/>
    <n v="85.78"/>
  </r>
  <r>
    <s v="ORD0497"/>
    <s v="2025-09-21"/>
    <x v="5"/>
    <n v="2025"/>
    <s v="Justin Anderson"/>
    <x v="1"/>
    <x v="1"/>
    <x v="7"/>
    <n v="30119.95"/>
    <n v="4"/>
    <n v="4487.28"/>
  </r>
  <r>
    <s v="ORD0498"/>
    <s v="2025-12-04"/>
    <x v="11"/>
    <n v="2025"/>
    <s v="Janice Kennedy"/>
    <x v="3"/>
    <x v="1"/>
    <x v="4"/>
    <n v="9013"/>
    <n v="5"/>
    <n v="1709.88"/>
  </r>
  <r>
    <s v="ORD0499"/>
    <s v="2025-11-29"/>
    <x v="10"/>
    <n v="2025"/>
    <s v="Patricia Yoder"/>
    <x v="4"/>
    <x v="1"/>
    <x v="7"/>
    <n v="22725.79"/>
    <n v="7"/>
    <n v="1749.65"/>
  </r>
  <r>
    <s v="ORD0500"/>
    <s v="2025-03-04"/>
    <x v="2"/>
    <n v="2025"/>
    <s v="Jennifer Brown"/>
    <x v="4"/>
    <x v="1"/>
    <x v="4"/>
    <n v="46392.160000000003"/>
    <n v="5"/>
    <n v="-2180.4899999999998"/>
  </r>
  <r>
    <s v="ORD0501"/>
    <s v="2025-07-05"/>
    <x v="7"/>
    <n v="2025"/>
    <s v="Jesse Padilla"/>
    <x v="0"/>
    <x v="1"/>
    <x v="4"/>
    <n v="10188.58"/>
    <n v="3"/>
    <n v="100.23"/>
  </r>
  <r>
    <s v="ORD0502"/>
    <s v="2025-10-19"/>
    <x v="3"/>
    <n v="2025"/>
    <s v="Ryan Carson Jr."/>
    <x v="3"/>
    <x v="2"/>
    <x v="19"/>
    <n v="34645.9"/>
    <n v="8"/>
    <n v="4111.33"/>
  </r>
  <r>
    <s v="ORD0503"/>
    <s v="2025-11-25"/>
    <x v="10"/>
    <n v="2025"/>
    <s v="Patricia Mccarty"/>
    <x v="2"/>
    <x v="0"/>
    <x v="14"/>
    <n v="42150.720000000001"/>
    <n v="3"/>
    <n v="1653.2"/>
  </r>
  <r>
    <s v="ORD0504"/>
    <s v="2025-05-29"/>
    <x v="4"/>
    <n v="2025"/>
    <s v="Sean Cox"/>
    <x v="2"/>
    <x v="0"/>
    <x v="10"/>
    <n v="20771.59"/>
    <n v="5"/>
    <n v="1521.1"/>
  </r>
  <r>
    <s v="ORD0505"/>
    <s v="2025-05-23"/>
    <x v="4"/>
    <n v="2025"/>
    <s v="Victoria Williams"/>
    <x v="2"/>
    <x v="3"/>
    <x v="18"/>
    <n v="46947.17"/>
    <n v="5"/>
    <n v="-1535.7"/>
  </r>
  <r>
    <s v="ORD0506"/>
    <s v="2025-11-09"/>
    <x v="10"/>
    <n v="2025"/>
    <s v="Kari Torres"/>
    <x v="6"/>
    <x v="0"/>
    <x v="9"/>
    <n v="4481.88"/>
    <n v="9"/>
    <n v="680.66"/>
  </r>
  <r>
    <s v="ORD0507"/>
    <s v="2025-06-26"/>
    <x v="0"/>
    <n v="2025"/>
    <s v="Jordan Randall"/>
    <x v="6"/>
    <x v="3"/>
    <x v="13"/>
    <n v="7144.63"/>
    <n v="3"/>
    <n v="1021.05"/>
  </r>
  <r>
    <s v="ORD0508"/>
    <s v="2025-01-25"/>
    <x v="8"/>
    <n v="2025"/>
    <s v="Erika Rodriguez"/>
    <x v="4"/>
    <x v="3"/>
    <x v="13"/>
    <n v="25447.26"/>
    <n v="7"/>
    <n v="1056.01"/>
  </r>
  <r>
    <s v="ORD0509"/>
    <s v="2025-02-28"/>
    <x v="1"/>
    <n v="2025"/>
    <s v="Joshua Robles"/>
    <x v="6"/>
    <x v="1"/>
    <x v="7"/>
    <n v="40820.31"/>
    <n v="2"/>
    <n v="3795.55"/>
  </r>
  <r>
    <s v="ORD0510"/>
    <s v="2025-05-23"/>
    <x v="4"/>
    <n v="2025"/>
    <s v="Rick Gallagher"/>
    <x v="1"/>
    <x v="2"/>
    <x v="2"/>
    <n v="16194.19"/>
    <n v="4"/>
    <n v="371.37"/>
  </r>
  <r>
    <s v="ORD0511"/>
    <s v="2025-03-30"/>
    <x v="2"/>
    <n v="2025"/>
    <s v="Jessica Carter"/>
    <x v="2"/>
    <x v="2"/>
    <x v="16"/>
    <n v="27285.75"/>
    <n v="5"/>
    <n v="6575.93"/>
  </r>
  <r>
    <s v="ORD0512"/>
    <s v="2025-12-18"/>
    <x v="11"/>
    <n v="2025"/>
    <s v="Matthew Miller"/>
    <x v="3"/>
    <x v="0"/>
    <x v="9"/>
    <n v="22463.29"/>
    <n v="2"/>
    <n v="-936.95"/>
  </r>
  <r>
    <s v="ORD0513"/>
    <s v="2025-12-05"/>
    <x v="11"/>
    <n v="2025"/>
    <s v="Richard Dennis"/>
    <x v="6"/>
    <x v="0"/>
    <x v="10"/>
    <n v="34849.279999999999"/>
    <n v="5"/>
    <n v="3350.15"/>
  </r>
  <r>
    <s v="ORD0514"/>
    <s v="2025-04-10"/>
    <x v="9"/>
    <n v="2025"/>
    <s v="Nancy Simmons"/>
    <x v="1"/>
    <x v="1"/>
    <x v="1"/>
    <n v="42868.58"/>
    <n v="9"/>
    <n v="8609.07"/>
  </r>
  <r>
    <s v="ORD0515"/>
    <s v="2025-09-20"/>
    <x v="5"/>
    <n v="2025"/>
    <s v="Justin Griffin"/>
    <x v="1"/>
    <x v="0"/>
    <x v="0"/>
    <n v="8384.6"/>
    <n v="9"/>
    <n v="-47.55"/>
  </r>
  <r>
    <s v="ORD0516"/>
    <s v="2025-06-21"/>
    <x v="0"/>
    <n v="2025"/>
    <s v="Raymond Schaefer"/>
    <x v="5"/>
    <x v="1"/>
    <x v="12"/>
    <n v="5649.37"/>
    <n v="5"/>
    <n v="173.05"/>
  </r>
  <r>
    <s v="ORD0517"/>
    <s v="2025-09-04"/>
    <x v="5"/>
    <n v="2025"/>
    <s v="Bill Scott"/>
    <x v="4"/>
    <x v="3"/>
    <x v="11"/>
    <n v="21847.279999999999"/>
    <n v="8"/>
    <n v="1412.09"/>
  </r>
  <r>
    <s v="ORD0518"/>
    <s v="2025-06-14"/>
    <x v="0"/>
    <n v="2025"/>
    <s v="Amanda Stevens"/>
    <x v="6"/>
    <x v="0"/>
    <x v="14"/>
    <n v="13786.64"/>
    <n v="5"/>
    <n v="2263.9899999999998"/>
  </r>
  <r>
    <s v="ORD0519"/>
    <s v="2025-02-22"/>
    <x v="1"/>
    <n v="2025"/>
    <s v="Michael Morales"/>
    <x v="3"/>
    <x v="0"/>
    <x v="10"/>
    <n v="6854.88"/>
    <n v="4"/>
    <n v="1232.71"/>
  </r>
  <r>
    <s v="ORD0520"/>
    <s v="2025-04-19"/>
    <x v="9"/>
    <n v="2025"/>
    <s v="Robert Parker"/>
    <x v="2"/>
    <x v="0"/>
    <x v="10"/>
    <n v="22848.5"/>
    <n v="6"/>
    <n v="1741.62"/>
  </r>
  <r>
    <s v="ORD0521"/>
    <s v="2025-01-31"/>
    <x v="8"/>
    <n v="2025"/>
    <s v="Vanessa Gonzalez"/>
    <x v="1"/>
    <x v="1"/>
    <x v="7"/>
    <n v="22989"/>
    <n v="9"/>
    <n v="3563.62"/>
  </r>
  <r>
    <s v="ORD0522"/>
    <s v="2025-12-17"/>
    <x v="11"/>
    <n v="2025"/>
    <s v="Jeffrey Gomez"/>
    <x v="6"/>
    <x v="0"/>
    <x v="0"/>
    <n v="28981.61"/>
    <n v="1"/>
    <n v="8457.33"/>
  </r>
  <r>
    <s v="ORD0523"/>
    <s v="2025-06-06"/>
    <x v="0"/>
    <n v="2025"/>
    <s v="Sean Padilla"/>
    <x v="1"/>
    <x v="1"/>
    <x v="12"/>
    <n v="23352.69"/>
    <n v="2"/>
    <n v="358.27"/>
  </r>
  <r>
    <s v="ORD0524"/>
    <s v="2025-10-05"/>
    <x v="3"/>
    <n v="2025"/>
    <s v="Amy Sweeney"/>
    <x v="0"/>
    <x v="0"/>
    <x v="9"/>
    <n v="6793.13"/>
    <n v="7"/>
    <n v="1437.95"/>
  </r>
  <r>
    <s v="ORD0525"/>
    <s v="2025-09-17"/>
    <x v="5"/>
    <n v="2025"/>
    <s v="Debbie Castro"/>
    <x v="5"/>
    <x v="0"/>
    <x v="3"/>
    <n v="6265.53"/>
    <n v="7"/>
    <n v="1289.6199999999999"/>
  </r>
  <r>
    <s v="ORD0526"/>
    <s v="2025-06-04"/>
    <x v="0"/>
    <n v="2025"/>
    <s v="Richard Conrad"/>
    <x v="2"/>
    <x v="0"/>
    <x v="0"/>
    <n v="22486"/>
    <n v="10"/>
    <n v="2787.32"/>
  </r>
  <r>
    <s v="ORD0527"/>
    <s v="2025-03-09"/>
    <x v="2"/>
    <n v="2025"/>
    <s v="Leslie Smith"/>
    <x v="5"/>
    <x v="1"/>
    <x v="8"/>
    <n v="26549.360000000001"/>
    <n v="3"/>
    <n v="6870.84"/>
  </r>
  <r>
    <s v="ORD0528"/>
    <s v="2025-01-26"/>
    <x v="8"/>
    <n v="2025"/>
    <s v="John Dawson"/>
    <x v="4"/>
    <x v="3"/>
    <x v="6"/>
    <n v="12366.96"/>
    <n v="1"/>
    <n v="1768.89"/>
  </r>
  <r>
    <s v="ORD0529"/>
    <s v="2025-05-05"/>
    <x v="4"/>
    <n v="2025"/>
    <s v="Bryan Davis"/>
    <x v="0"/>
    <x v="2"/>
    <x v="19"/>
    <n v="32683.77"/>
    <n v="1"/>
    <n v="8806.2000000000007"/>
  </r>
  <r>
    <s v="ORD0530"/>
    <s v="2025-08-05"/>
    <x v="6"/>
    <n v="2025"/>
    <s v="Roger Thompson"/>
    <x v="1"/>
    <x v="2"/>
    <x v="17"/>
    <n v="47537.73"/>
    <n v="9"/>
    <n v="5959.64"/>
  </r>
  <r>
    <s v="ORD0531"/>
    <s v="2025-08-11"/>
    <x v="6"/>
    <n v="2025"/>
    <s v="Justin Cain"/>
    <x v="5"/>
    <x v="1"/>
    <x v="7"/>
    <n v="29442.62"/>
    <n v="3"/>
    <n v="-1360.93"/>
  </r>
  <r>
    <s v="ORD0532"/>
    <s v="2025-09-02"/>
    <x v="5"/>
    <n v="2025"/>
    <s v="Danny Warner"/>
    <x v="5"/>
    <x v="2"/>
    <x v="19"/>
    <n v="30221.57"/>
    <n v="6"/>
    <n v="4616.82"/>
  </r>
  <r>
    <s v="ORD0533"/>
    <s v="2025-06-18"/>
    <x v="0"/>
    <n v="2025"/>
    <s v="Elizabeth Carter"/>
    <x v="2"/>
    <x v="1"/>
    <x v="12"/>
    <n v="31045.09"/>
    <n v="8"/>
    <n v="4298.12"/>
  </r>
  <r>
    <s v="ORD0534"/>
    <s v="2025-06-29"/>
    <x v="0"/>
    <n v="2025"/>
    <s v="Anita Webb"/>
    <x v="6"/>
    <x v="2"/>
    <x v="17"/>
    <n v="36239.14"/>
    <n v="2"/>
    <n v="2130.8200000000002"/>
  </r>
  <r>
    <s v="ORD0535"/>
    <s v="2025-12-06"/>
    <x v="11"/>
    <n v="2025"/>
    <s v="William Anderson"/>
    <x v="0"/>
    <x v="1"/>
    <x v="12"/>
    <n v="8611.48"/>
    <n v="3"/>
    <n v="825.1"/>
  </r>
  <r>
    <s v="ORD0536"/>
    <s v="2025-03-16"/>
    <x v="2"/>
    <n v="2025"/>
    <s v="James Jones"/>
    <x v="0"/>
    <x v="3"/>
    <x v="15"/>
    <n v="27581.33"/>
    <n v="5"/>
    <n v="414.43"/>
  </r>
  <r>
    <s v="ORD0537"/>
    <s v="2025-03-11"/>
    <x v="2"/>
    <n v="2025"/>
    <s v="Michael Perez"/>
    <x v="0"/>
    <x v="0"/>
    <x v="9"/>
    <n v="18254.080000000002"/>
    <n v="4"/>
    <n v="2146.2800000000002"/>
  </r>
  <r>
    <s v="ORD0538"/>
    <s v="2025-09-01"/>
    <x v="5"/>
    <n v="2025"/>
    <s v="Vanessa Benson"/>
    <x v="3"/>
    <x v="0"/>
    <x v="14"/>
    <n v="25786.01"/>
    <n v="4"/>
    <n v="2198.9499999999998"/>
  </r>
  <r>
    <s v="ORD0539"/>
    <s v="2025-02-09"/>
    <x v="1"/>
    <n v="2025"/>
    <s v="Tiffany Jimenez"/>
    <x v="4"/>
    <x v="0"/>
    <x v="0"/>
    <n v="34471.129999999997"/>
    <n v="3"/>
    <n v="970.49"/>
  </r>
  <r>
    <s v="ORD0540"/>
    <s v="2025-07-15"/>
    <x v="7"/>
    <n v="2025"/>
    <s v="Jason Henderson"/>
    <x v="0"/>
    <x v="2"/>
    <x v="16"/>
    <n v="36790.97"/>
    <n v="3"/>
    <n v="-1041.1300000000001"/>
  </r>
  <r>
    <s v="ORD0541"/>
    <s v="2025-10-05"/>
    <x v="3"/>
    <n v="2025"/>
    <s v="Gloria Ramirez"/>
    <x v="2"/>
    <x v="3"/>
    <x v="13"/>
    <n v="8490.25"/>
    <n v="10"/>
    <n v="525.25"/>
  </r>
  <r>
    <s v="ORD0542"/>
    <s v="2025-01-28"/>
    <x v="8"/>
    <n v="2025"/>
    <s v="Daniel Skinner"/>
    <x v="1"/>
    <x v="0"/>
    <x v="10"/>
    <n v="6486.73"/>
    <n v="1"/>
    <n v="99.26"/>
  </r>
  <r>
    <s v="ORD0543"/>
    <s v="2025-10-28"/>
    <x v="3"/>
    <n v="2025"/>
    <s v="Dawn Mathews"/>
    <x v="4"/>
    <x v="0"/>
    <x v="10"/>
    <n v="5555.44"/>
    <n v="5"/>
    <n v="-196.43"/>
  </r>
  <r>
    <s v="ORD0544"/>
    <s v="2025-01-28"/>
    <x v="8"/>
    <n v="2025"/>
    <s v="Sandra Ross"/>
    <x v="0"/>
    <x v="2"/>
    <x v="19"/>
    <n v="43011.54"/>
    <n v="10"/>
    <n v="2980.19"/>
  </r>
  <r>
    <s v="ORD0545"/>
    <s v="2025-02-02"/>
    <x v="1"/>
    <n v="2025"/>
    <s v="Rebekah Harrington"/>
    <x v="0"/>
    <x v="2"/>
    <x v="19"/>
    <n v="10408.07"/>
    <n v="6"/>
    <n v="463.17"/>
  </r>
  <r>
    <s v="ORD0546"/>
    <s v="2025-05-10"/>
    <x v="4"/>
    <n v="2025"/>
    <s v="Andrew Cross"/>
    <x v="5"/>
    <x v="1"/>
    <x v="1"/>
    <n v="21220.82"/>
    <n v="6"/>
    <n v="386.15"/>
  </r>
  <r>
    <s v="ORD0547"/>
    <s v="2025-08-05"/>
    <x v="6"/>
    <n v="2025"/>
    <s v="Michelle Duncan"/>
    <x v="0"/>
    <x v="2"/>
    <x v="2"/>
    <n v="26270.68"/>
    <n v="1"/>
    <n v="-574.54999999999995"/>
  </r>
  <r>
    <s v="ORD0548"/>
    <s v="2025-10-11"/>
    <x v="3"/>
    <n v="2025"/>
    <s v="Dana Torres"/>
    <x v="5"/>
    <x v="1"/>
    <x v="1"/>
    <n v="19042.04"/>
    <n v="1"/>
    <n v="1843.47"/>
  </r>
  <r>
    <s v="ORD0549"/>
    <s v="2025-05-16"/>
    <x v="4"/>
    <n v="2025"/>
    <s v="Mark Aguirre"/>
    <x v="4"/>
    <x v="1"/>
    <x v="1"/>
    <n v="36080.04"/>
    <n v="5"/>
    <n v="-260.93"/>
  </r>
  <r>
    <s v="ORD0550"/>
    <s v="2025-03-04"/>
    <x v="2"/>
    <n v="2025"/>
    <s v="Gail Fletcher"/>
    <x v="5"/>
    <x v="2"/>
    <x v="17"/>
    <n v="18589.97"/>
    <n v="4"/>
    <n v="4086.49"/>
  </r>
  <r>
    <s v="ORD0551"/>
    <s v="2025-04-05"/>
    <x v="9"/>
    <n v="2025"/>
    <s v="Katrina Jones"/>
    <x v="0"/>
    <x v="1"/>
    <x v="12"/>
    <n v="25086.6"/>
    <n v="4"/>
    <n v="2136.2800000000002"/>
  </r>
  <r>
    <s v="ORD0552"/>
    <s v="2025-06-18"/>
    <x v="0"/>
    <n v="2025"/>
    <s v="Tara Singh"/>
    <x v="1"/>
    <x v="0"/>
    <x v="9"/>
    <n v="17713"/>
    <n v="6"/>
    <n v="2278.2600000000002"/>
  </r>
  <r>
    <s v="ORD0553"/>
    <s v="2025-12-15"/>
    <x v="11"/>
    <n v="2025"/>
    <s v="Jennifer Mendoza"/>
    <x v="1"/>
    <x v="2"/>
    <x v="5"/>
    <n v="29717.61"/>
    <n v="7"/>
    <n v="2941.46"/>
  </r>
  <r>
    <s v="ORD0554"/>
    <s v="2025-06-19"/>
    <x v="0"/>
    <n v="2025"/>
    <s v="Kelly Buck"/>
    <x v="0"/>
    <x v="0"/>
    <x v="0"/>
    <n v="7398.58"/>
    <n v="2"/>
    <n v="1653.35"/>
  </r>
  <r>
    <s v="ORD0555"/>
    <s v="2025-10-17"/>
    <x v="3"/>
    <n v="2025"/>
    <s v="Paul Cordova"/>
    <x v="5"/>
    <x v="1"/>
    <x v="1"/>
    <n v="11373.31"/>
    <n v="4"/>
    <n v="1883.8"/>
  </r>
  <r>
    <s v="ORD0556"/>
    <s v="2025-10-29"/>
    <x v="3"/>
    <n v="2025"/>
    <s v="Angela Haas"/>
    <x v="4"/>
    <x v="1"/>
    <x v="8"/>
    <n v="49168.51"/>
    <n v="6"/>
    <n v="4748.33"/>
  </r>
  <r>
    <s v="ORD0557"/>
    <s v="2025-04-28"/>
    <x v="9"/>
    <n v="2025"/>
    <s v="Jessica Ruiz"/>
    <x v="5"/>
    <x v="0"/>
    <x v="9"/>
    <n v="47028.61"/>
    <n v="4"/>
    <n v="9343.73"/>
  </r>
  <r>
    <s v="ORD0558"/>
    <s v="2025-07-15"/>
    <x v="7"/>
    <n v="2025"/>
    <s v="Jane Cohen"/>
    <x v="3"/>
    <x v="3"/>
    <x v="18"/>
    <n v="32178.85"/>
    <n v="6"/>
    <n v="8129.8"/>
  </r>
  <r>
    <s v="ORD0559"/>
    <s v="2025-07-14"/>
    <x v="7"/>
    <n v="2025"/>
    <s v="Lisa Bridges"/>
    <x v="2"/>
    <x v="2"/>
    <x v="5"/>
    <n v="14184.56"/>
    <n v="9"/>
    <n v="637.20000000000005"/>
  </r>
  <r>
    <s v="ORD0560"/>
    <s v="2025-11-12"/>
    <x v="10"/>
    <n v="2025"/>
    <s v="Joel Lambert"/>
    <x v="5"/>
    <x v="1"/>
    <x v="7"/>
    <n v="15965.95"/>
    <n v="8"/>
    <n v="2953.9"/>
  </r>
  <r>
    <s v="ORD0561"/>
    <s v="2025-06-21"/>
    <x v="0"/>
    <n v="2025"/>
    <s v="Raymond Murphy"/>
    <x v="4"/>
    <x v="2"/>
    <x v="19"/>
    <n v="28570.28"/>
    <n v="7"/>
    <n v="4712.43"/>
  </r>
  <r>
    <s v="ORD0562"/>
    <s v="2025-01-02"/>
    <x v="8"/>
    <n v="2025"/>
    <s v="Joanna Norman"/>
    <x v="6"/>
    <x v="3"/>
    <x v="6"/>
    <n v="14658.04"/>
    <n v="6"/>
    <n v="2751.93"/>
  </r>
  <r>
    <s v="ORD0563"/>
    <s v="2025-07-15"/>
    <x v="7"/>
    <n v="2025"/>
    <s v="Deborah Miller"/>
    <x v="6"/>
    <x v="0"/>
    <x v="14"/>
    <n v="11892.49"/>
    <n v="6"/>
    <n v="3462.26"/>
  </r>
  <r>
    <s v="ORD0564"/>
    <s v="2025-09-27"/>
    <x v="5"/>
    <n v="2025"/>
    <s v="George Ellis"/>
    <x v="6"/>
    <x v="2"/>
    <x v="2"/>
    <n v="12767.31"/>
    <n v="10"/>
    <n v="2741.9"/>
  </r>
  <r>
    <s v="ORD0565"/>
    <s v="2025-09-19"/>
    <x v="5"/>
    <n v="2025"/>
    <s v="Anthony Simon"/>
    <x v="2"/>
    <x v="1"/>
    <x v="12"/>
    <n v="31309.01"/>
    <n v="3"/>
    <n v="4427.76"/>
  </r>
  <r>
    <s v="ORD0566"/>
    <s v="2025-09-06"/>
    <x v="5"/>
    <n v="2025"/>
    <s v="Eric Torres"/>
    <x v="2"/>
    <x v="2"/>
    <x v="16"/>
    <n v="23596.83"/>
    <n v="1"/>
    <n v="492.33"/>
  </r>
  <r>
    <s v="ORD0567"/>
    <s v="2025-08-22"/>
    <x v="6"/>
    <n v="2025"/>
    <s v="Sandra Simon"/>
    <x v="3"/>
    <x v="1"/>
    <x v="1"/>
    <n v="49833.07"/>
    <n v="7"/>
    <n v="5477.95"/>
  </r>
  <r>
    <s v="ORD0568"/>
    <s v="2025-11-12"/>
    <x v="10"/>
    <n v="2025"/>
    <s v="Charles Barnes"/>
    <x v="1"/>
    <x v="3"/>
    <x v="11"/>
    <n v="10887.79"/>
    <n v="10"/>
    <n v="1461.19"/>
  </r>
  <r>
    <s v="ORD0569"/>
    <s v="2025-03-09"/>
    <x v="2"/>
    <n v="2025"/>
    <s v="Matthew Conley"/>
    <x v="6"/>
    <x v="3"/>
    <x v="6"/>
    <n v="34336.81"/>
    <n v="5"/>
    <n v="-1295.82"/>
  </r>
  <r>
    <s v="ORD0570"/>
    <s v="2025-09-25"/>
    <x v="5"/>
    <n v="2025"/>
    <s v="Sean Meyers"/>
    <x v="4"/>
    <x v="0"/>
    <x v="3"/>
    <n v="34896.589999999997"/>
    <n v="5"/>
    <n v="8419.8799999999992"/>
  </r>
  <r>
    <s v="ORD0571"/>
    <s v="2025-06-07"/>
    <x v="0"/>
    <n v="2025"/>
    <s v="Carlos Mendez"/>
    <x v="0"/>
    <x v="1"/>
    <x v="1"/>
    <n v="31103.33"/>
    <n v="8"/>
    <n v="4748.41"/>
  </r>
  <r>
    <s v="ORD0572"/>
    <s v="2025-03-03"/>
    <x v="2"/>
    <n v="2025"/>
    <s v="Diana Whitaker"/>
    <x v="5"/>
    <x v="0"/>
    <x v="9"/>
    <n v="19222.2"/>
    <n v="9"/>
    <n v="3521.3"/>
  </r>
  <r>
    <s v="ORD0573"/>
    <s v="2025-09-25"/>
    <x v="5"/>
    <n v="2025"/>
    <s v="Connor Lloyd"/>
    <x v="3"/>
    <x v="0"/>
    <x v="14"/>
    <n v="45671.9"/>
    <n v="9"/>
    <n v="11099.58"/>
  </r>
  <r>
    <s v="ORD0574"/>
    <s v="2025-10-14"/>
    <x v="3"/>
    <n v="2025"/>
    <s v="Karen Wade"/>
    <x v="2"/>
    <x v="0"/>
    <x v="10"/>
    <n v="3573.94"/>
    <n v="5"/>
    <n v="846.52"/>
  </r>
  <r>
    <s v="ORD0575"/>
    <s v="2025-12-18"/>
    <x v="11"/>
    <n v="2025"/>
    <s v="Andrew Harris"/>
    <x v="6"/>
    <x v="2"/>
    <x v="16"/>
    <n v="7613.09"/>
    <n v="2"/>
    <n v="2098.73"/>
  </r>
  <r>
    <s v="ORD0576"/>
    <s v="2025-11-26"/>
    <x v="10"/>
    <n v="2025"/>
    <s v="Sarah Patel"/>
    <x v="2"/>
    <x v="1"/>
    <x v="7"/>
    <n v="15781.89"/>
    <n v="3"/>
    <n v="413.63"/>
  </r>
  <r>
    <s v="ORD0577"/>
    <s v="2025-04-16"/>
    <x v="9"/>
    <n v="2025"/>
    <s v="Jamie Hudson"/>
    <x v="2"/>
    <x v="0"/>
    <x v="14"/>
    <n v="49470.37"/>
    <n v="4"/>
    <n v="10729"/>
  </r>
  <r>
    <s v="ORD0578"/>
    <s v="2025-09-03"/>
    <x v="5"/>
    <n v="2025"/>
    <s v="Tiffany Francis"/>
    <x v="0"/>
    <x v="3"/>
    <x v="6"/>
    <n v="10097.44"/>
    <n v="2"/>
    <n v="3010.08"/>
  </r>
  <r>
    <s v="ORD0579"/>
    <s v="2025-01-04"/>
    <x v="8"/>
    <n v="2025"/>
    <s v="Crystal Lowe"/>
    <x v="1"/>
    <x v="2"/>
    <x v="17"/>
    <n v="35967.980000000003"/>
    <n v="5"/>
    <n v="-488.53"/>
  </r>
  <r>
    <s v="ORD0580"/>
    <s v="2025-01-04"/>
    <x v="8"/>
    <n v="2025"/>
    <s v="Chloe Mason"/>
    <x v="5"/>
    <x v="2"/>
    <x v="5"/>
    <n v="22094.04"/>
    <n v="6"/>
    <n v="3514.18"/>
  </r>
  <r>
    <s v="ORD0581"/>
    <s v="2025-05-28"/>
    <x v="4"/>
    <n v="2025"/>
    <s v="Jennifer Lynn"/>
    <x v="5"/>
    <x v="0"/>
    <x v="10"/>
    <n v="30267.31"/>
    <n v="3"/>
    <n v="3016.9"/>
  </r>
  <r>
    <s v="ORD0582"/>
    <s v="2025-07-21"/>
    <x v="7"/>
    <n v="2025"/>
    <s v="Troy Jones"/>
    <x v="5"/>
    <x v="0"/>
    <x v="10"/>
    <n v="16072.83"/>
    <n v="7"/>
    <n v="1365.88"/>
  </r>
  <r>
    <s v="ORD0583"/>
    <s v="2025-03-31"/>
    <x v="2"/>
    <n v="2025"/>
    <s v="Brian Lowery"/>
    <x v="3"/>
    <x v="1"/>
    <x v="8"/>
    <n v="35147.69"/>
    <n v="3"/>
    <n v="9821.39"/>
  </r>
  <r>
    <s v="ORD0584"/>
    <s v="2025-10-14"/>
    <x v="3"/>
    <n v="2025"/>
    <s v="Fernando Logan"/>
    <x v="4"/>
    <x v="0"/>
    <x v="3"/>
    <n v="44540.35"/>
    <n v="10"/>
    <n v="-48.14"/>
  </r>
  <r>
    <s v="ORD0585"/>
    <s v="2025-01-13"/>
    <x v="8"/>
    <n v="2025"/>
    <s v="Denise Sanchez"/>
    <x v="5"/>
    <x v="0"/>
    <x v="0"/>
    <n v="2028.88"/>
    <n v="10"/>
    <n v="186.12"/>
  </r>
  <r>
    <s v="ORD0586"/>
    <s v="2025-04-18"/>
    <x v="9"/>
    <n v="2025"/>
    <s v="David Anderson"/>
    <x v="3"/>
    <x v="1"/>
    <x v="1"/>
    <n v="14619.82"/>
    <n v="9"/>
    <n v="2970.38"/>
  </r>
  <r>
    <s v="ORD0587"/>
    <s v="2025-02-09"/>
    <x v="1"/>
    <n v="2025"/>
    <s v="Amy Morales"/>
    <x v="1"/>
    <x v="2"/>
    <x v="17"/>
    <n v="33745.58"/>
    <n v="6"/>
    <n v="-1269.23"/>
  </r>
  <r>
    <s v="ORD0588"/>
    <s v="2025-03-03"/>
    <x v="2"/>
    <n v="2025"/>
    <s v="Michael Clark"/>
    <x v="0"/>
    <x v="0"/>
    <x v="9"/>
    <n v="48619.4"/>
    <n v="9"/>
    <n v="2195.5500000000002"/>
  </r>
  <r>
    <s v="ORD0589"/>
    <s v="2025-07-22"/>
    <x v="7"/>
    <n v="2025"/>
    <s v="James Hess"/>
    <x v="1"/>
    <x v="1"/>
    <x v="8"/>
    <n v="19139.86"/>
    <n v="4"/>
    <n v="1926.38"/>
  </r>
  <r>
    <s v="ORD0590"/>
    <s v="2025-11-26"/>
    <x v="10"/>
    <n v="2025"/>
    <s v="Deborah Jones"/>
    <x v="5"/>
    <x v="0"/>
    <x v="9"/>
    <n v="28423"/>
    <n v="2"/>
    <n v="5737.34"/>
  </r>
  <r>
    <s v="ORD0591"/>
    <s v="2025-07-18"/>
    <x v="7"/>
    <n v="2025"/>
    <s v="Christian Romero"/>
    <x v="6"/>
    <x v="2"/>
    <x v="5"/>
    <n v="28508.560000000001"/>
    <n v="10"/>
    <n v="3841.83"/>
  </r>
  <r>
    <s v="ORD0592"/>
    <s v="2025-06-16"/>
    <x v="0"/>
    <n v="2025"/>
    <s v="Cody Lee"/>
    <x v="2"/>
    <x v="1"/>
    <x v="12"/>
    <n v="4447.67"/>
    <n v="7"/>
    <n v="975.39"/>
  </r>
  <r>
    <s v="ORD0593"/>
    <s v="2025-06-03"/>
    <x v="0"/>
    <n v="2025"/>
    <s v="James Nicholson"/>
    <x v="5"/>
    <x v="3"/>
    <x v="15"/>
    <n v="14657.86"/>
    <n v="2"/>
    <n v="3576.01"/>
  </r>
  <r>
    <s v="ORD0594"/>
    <s v="2025-05-29"/>
    <x v="4"/>
    <n v="2025"/>
    <s v="Nathan Allison"/>
    <x v="3"/>
    <x v="2"/>
    <x v="5"/>
    <n v="24315.84"/>
    <n v="1"/>
    <n v="5683.29"/>
  </r>
  <r>
    <s v="ORD0595"/>
    <s v="2025-07-23"/>
    <x v="7"/>
    <n v="2025"/>
    <s v="Amanda Holloway"/>
    <x v="4"/>
    <x v="1"/>
    <x v="4"/>
    <n v="35524.28"/>
    <n v="10"/>
    <n v="7556.22"/>
  </r>
  <r>
    <s v="ORD0596"/>
    <s v="2025-07-22"/>
    <x v="7"/>
    <n v="2025"/>
    <s v="Courtney Swanson"/>
    <x v="1"/>
    <x v="2"/>
    <x v="17"/>
    <n v="36575.629999999997"/>
    <n v="6"/>
    <n v="-163.79"/>
  </r>
  <r>
    <s v="ORD0597"/>
    <s v="2025-08-24"/>
    <x v="6"/>
    <n v="2025"/>
    <s v="Terry Wells"/>
    <x v="1"/>
    <x v="2"/>
    <x v="19"/>
    <n v="4744.42"/>
    <n v="10"/>
    <n v="148.76"/>
  </r>
  <r>
    <s v="ORD0598"/>
    <s v="2025-06-02"/>
    <x v="0"/>
    <n v="2025"/>
    <s v="Mary Martinez"/>
    <x v="3"/>
    <x v="0"/>
    <x v="14"/>
    <n v="27803.82"/>
    <n v="3"/>
    <n v="4019.02"/>
  </r>
  <r>
    <s v="ORD0599"/>
    <s v="2025-09-18"/>
    <x v="5"/>
    <n v="2025"/>
    <s v="Garrett Jordan"/>
    <x v="2"/>
    <x v="1"/>
    <x v="8"/>
    <n v="45747.73"/>
    <n v="10"/>
    <n v="7050.9"/>
  </r>
  <r>
    <s v="ORD0600"/>
    <s v="2025-01-24"/>
    <x v="8"/>
    <n v="2025"/>
    <s v="Jonathan Hammond"/>
    <x v="6"/>
    <x v="2"/>
    <x v="16"/>
    <n v="37921.550000000003"/>
    <n v="2"/>
    <n v="8150.54"/>
  </r>
  <r>
    <s v="ORD0601"/>
    <s v="2025-06-18"/>
    <x v="0"/>
    <n v="2025"/>
    <s v="Michael Jones"/>
    <x v="5"/>
    <x v="0"/>
    <x v="0"/>
    <n v="32405.39"/>
    <n v="1"/>
    <n v="4250.32"/>
  </r>
  <r>
    <s v="ORD0602"/>
    <s v="2025-01-15"/>
    <x v="8"/>
    <n v="2025"/>
    <s v="Manuel Hinton"/>
    <x v="0"/>
    <x v="0"/>
    <x v="3"/>
    <n v="46702.46"/>
    <n v="2"/>
    <n v="10480.42"/>
  </r>
  <r>
    <s v="ORD0603"/>
    <s v="2025-01-13"/>
    <x v="8"/>
    <n v="2025"/>
    <s v="Lisa Edwards"/>
    <x v="5"/>
    <x v="3"/>
    <x v="15"/>
    <n v="15462.15"/>
    <n v="4"/>
    <n v="2534.36"/>
  </r>
  <r>
    <s v="ORD0604"/>
    <s v="2025-06-08"/>
    <x v="0"/>
    <n v="2025"/>
    <s v="Nicholas Kent"/>
    <x v="2"/>
    <x v="3"/>
    <x v="11"/>
    <n v="2705.98"/>
    <n v="10"/>
    <n v="609.59"/>
  </r>
  <r>
    <s v="ORD0605"/>
    <s v="2025-04-20"/>
    <x v="9"/>
    <n v="2025"/>
    <s v="James Snyder"/>
    <x v="0"/>
    <x v="1"/>
    <x v="12"/>
    <n v="45390.61"/>
    <n v="10"/>
    <n v="11220.01"/>
  </r>
  <r>
    <s v="ORD0606"/>
    <s v="2025-11-24"/>
    <x v="10"/>
    <n v="2025"/>
    <s v="Vanessa Hamilton"/>
    <x v="5"/>
    <x v="3"/>
    <x v="18"/>
    <n v="10380.719999999999"/>
    <n v="8"/>
    <n v="1869.61"/>
  </r>
  <r>
    <s v="ORD0607"/>
    <s v="2025-02-26"/>
    <x v="1"/>
    <n v="2025"/>
    <s v="Billy Berry"/>
    <x v="4"/>
    <x v="0"/>
    <x v="9"/>
    <n v="36174.25"/>
    <n v="10"/>
    <n v="2567.87"/>
  </r>
  <r>
    <s v="ORD0608"/>
    <s v="2025-01-10"/>
    <x v="8"/>
    <n v="2025"/>
    <s v="Tristan Sawyer"/>
    <x v="4"/>
    <x v="3"/>
    <x v="11"/>
    <n v="26438.86"/>
    <n v="10"/>
    <n v="4812.83"/>
  </r>
  <r>
    <s v="ORD0609"/>
    <s v="2025-11-22"/>
    <x v="10"/>
    <n v="2025"/>
    <s v="Jennifer Hardy"/>
    <x v="5"/>
    <x v="1"/>
    <x v="1"/>
    <n v="16782.990000000002"/>
    <n v="10"/>
    <n v="3411"/>
  </r>
  <r>
    <s v="ORD0610"/>
    <s v="2025-05-10"/>
    <x v="4"/>
    <n v="2025"/>
    <s v="Michael Griffin"/>
    <x v="6"/>
    <x v="3"/>
    <x v="13"/>
    <n v="6558.47"/>
    <n v="7"/>
    <n v="1481.5"/>
  </r>
  <r>
    <s v="ORD0611"/>
    <s v="2025-12-15"/>
    <x v="11"/>
    <n v="2025"/>
    <s v="Jeffrey Price"/>
    <x v="6"/>
    <x v="0"/>
    <x v="9"/>
    <n v="9579.32"/>
    <n v="4"/>
    <n v="902.8"/>
  </r>
  <r>
    <s v="ORD0612"/>
    <s v="2025-01-06"/>
    <x v="8"/>
    <n v="2025"/>
    <s v="Anna Thomas"/>
    <x v="6"/>
    <x v="3"/>
    <x v="11"/>
    <n v="25026.38"/>
    <n v="10"/>
    <n v="3687.92"/>
  </r>
  <r>
    <s v="ORD0613"/>
    <s v="2025-12-21"/>
    <x v="11"/>
    <n v="2025"/>
    <s v="Jennifer Weeks"/>
    <x v="5"/>
    <x v="0"/>
    <x v="9"/>
    <n v="47588.14"/>
    <n v="4"/>
    <n v="909.03"/>
  </r>
  <r>
    <s v="ORD0614"/>
    <s v="2025-12-07"/>
    <x v="11"/>
    <n v="2025"/>
    <s v="Amanda Kent"/>
    <x v="6"/>
    <x v="3"/>
    <x v="18"/>
    <n v="4294.5200000000004"/>
    <n v="9"/>
    <n v="-23.71"/>
  </r>
  <r>
    <s v="ORD0615"/>
    <s v="2025-10-01"/>
    <x v="3"/>
    <n v="2025"/>
    <s v="Raymond Martin"/>
    <x v="2"/>
    <x v="2"/>
    <x v="2"/>
    <n v="20437.07"/>
    <n v="8"/>
    <n v="3725.59"/>
  </r>
  <r>
    <s v="ORD0616"/>
    <s v="2025-03-27"/>
    <x v="2"/>
    <n v="2025"/>
    <s v="Richard Blake"/>
    <x v="0"/>
    <x v="3"/>
    <x v="6"/>
    <n v="41280.68"/>
    <n v="9"/>
    <n v="4874.17"/>
  </r>
  <r>
    <s v="ORD0617"/>
    <s v="2025-01-16"/>
    <x v="8"/>
    <n v="2025"/>
    <s v="Charles Thompson"/>
    <x v="6"/>
    <x v="1"/>
    <x v="7"/>
    <n v="21065.74"/>
    <n v="6"/>
    <n v="4488.1499999999996"/>
  </r>
  <r>
    <s v="ORD0618"/>
    <s v="2025-12-04"/>
    <x v="11"/>
    <n v="2025"/>
    <s v="Jodi Hughes"/>
    <x v="0"/>
    <x v="3"/>
    <x v="6"/>
    <n v="44683.32"/>
    <n v="2"/>
    <n v="7240.68"/>
  </r>
  <r>
    <s v="ORD0619"/>
    <s v="2025-08-04"/>
    <x v="6"/>
    <n v="2025"/>
    <s v="Rebecca Nguyen"/>
    <x v="3"/>
    <x v="0"/>
    <x v="14"/>
    <n v="8827.69"/>
    <n v="7"/>
    <n v="1813.93"/>
  </r>
  <r>
    <s v="ORD0620"/>
    <s v="2025-12-14"/>
    <x v="11"/>
    <n v="2025"/>
    <s v="James Smith"/>
    <x v="2"/>
    <x v="1"/>
    <x v="8"/>
    <n v="28969.66"/>
    <n v="1"/>
    <n v="6530.22"/>
  </r>
  <r>
    <s v="ORD0621"/>
    <s v="2025-01-03"/>
    <x v="8"/>
    <n v="2025"/>
    <s v="Jackie Grant"/>
    <x v="0"/>
    <x v="3"/>
    <x v="18"/>
    <n v="35277.64"/>
    <n v="10"/>
    <n v="7959.19"/>
  </r>
  <r>
    <s v="ORD0622"/>
    <s v="2025-06-08"/>
    <x v="0"/>
    <n v="2025"/>
    <s v="Andrew Brown"/>
    <x v="6"/>
    <x v="0"/>
    <x v="14"/>
    <n v="26324.880000000001"/>
    <n v="10"/>
    <n v="-905.19"/>
  </r>
  <r>
    <s v="ORD0623"/>
    <s v="2025-01-05"/>
    <x v="8"/>
    <n v="2025"/>
    <s v="Jean Leach"/>
    <x v="3"/>
    <x v="0"/>
    <x v="9"/>
    <n v="8200.5499999999993"/>
    <n v="5"/>
    <n v="-75.569999999999993"/>
  </r>
  <r>
    <s v="ORD0624"/>
    <s v="2025-07-07"/>
    <x v="7"/>
    <n v="2025"/>
    <s v="Christopher Cruz"/>
    <x v="6"/>
    <x v="0"/>
    <x v="0"/>
    <n v="32696.880000000001"/>
    <n v="5"/>
    <n v="3051.46"/>
  </r>
  <r>
    <s v="ORD0625"/>
    <s v="2025-11-24"/>
    <x v="10"/>
    <n v="2025"/>
    <s v="Michael Spencer MD"/>
    <x v="0"/>
    <x v="3"/>
    <x v="6"/>
    <n v="33640.65"/>
    <n v="5"/>
    <n v="7089.4"/>
  </r>
  <r>
    <s v="ORD0626"/>
    <s v="2025-06-15"/>
    <x v="0"/>
    <n v="2025"/>
    <s v="Kevin Mitchell"/>
    <x v="3"/>
    <x v="0"/>
    <x v="14"/>
    <n v="26747.85"/>
    <n v="1"/>
    <n v="5652.11"/>
  </r>
  <r>
    <s v="ORD0627"/>
    <s v="2025-04-27"/>
    <x v="9"/>
    <n v="2025"/>
    <s v="John Jones"/>
    <x v="1"/>
    <x v="0"/>
    <x v="14"/>
    <n v="15132.17"/>
    <n v="3"/>
    <n v="-3.4"/>
  </r>
  <r>
    <s v="ORD0628"/>
    <s v="2025-09-04"/>
    <x v="5"/>
    <n v="2025"/>
    <s v="Anthony Marshall"/>
    <x v="4"/>
    <x v="1"/>
    <x v="4"/>
    <n v="4645.0200000000004"/>
    <n v="9"/>
    <n v="659.78"/>
  </r>
  <r>
    <s v="ORD0629"/>
    <s v="2025-06-12"/>
    <x v="0"/>
    <n v="2025"/>
    <s v="Jeff Dixon"/>
    <x v="2"/>
    <x v="2"/>
    <x v="19"/>
    <n v="20710.02"/>
    <n v="8"/>
    <n v="6169.18"/>
  </r>
  <r>
    <s v="ORD0630"/>
    <s v="2025-09-12"/>
    <x v="5"/>
    <n v="2025"/>
    <s v="Shelly Green"/>
    <x v="1"/>
    <x v="1"/>
    <x v="8"/>
    <n v="31973.39"/>
    <n v="1"/>
    <n v="8262.7900000000009"/>
  </r>
  <r>
    <s v="ORD0631"/>
    <s v="2025-06-16"/>
    <x v="0"/>
    <n v="2025"/>
    <s v="Mark Fox"/>
    <x v="1"/>
    <x v="0"/>
    <x v="9"/>
    <n v="30450.17"/>
    <n v="10"/>
    <n v="8071.48"/>
  </r>
  <r>
    <s v="ORD0632"/>
    <s v="2025-04-17"/>
    <x v="9"/>
    <n v="2025"/>
    <s v="Debra Rodriguez"/>
    <x v="0"/>
    <x v="3"/>
    <x v="11"/>
    <n v="28819.17"/>
    <n v="6"/>
    <n v="7714.47"/>
  </r>
  <r>
    <s v="ORD0633"/>
    <s v="2025-06-07"/>
    <x v="0"/>
    <n v="2025"/>
    <s v="Marissa Raymond"/>
    <x v="1"/>
    <x v="1"/>
    <x v="12"/>
    <n v="4129.74"/>
    <n v="3"/>
    <n v="236.66"/>
  </r>
  <r>
    <s v="ORD0634"/>
    <s v="2025-05-12"/>
    <x v="4"/>
    <n v="2025"/>
    <s v="Christy Chan"/>
    <x v="0"/>
    <x v="1"/>
    <x v="8"/>
    <n v="6265.79"/>
    <n v="1"/>
    <n v="1613.32"/>
  </r>
  <r>
    <s v="ORD0635"/>
    <s v="2025-02-20"/>
    <x v="1"/>
    <n v="2025"/>
    <s v="Amy Evans"/>
    <x v="5"/>
    <x v="0"/>
    <x v="3"/>
    <n v="2862.12"/>
    <n v="8"/>
    <n v="659.83"/>
  </r>
  <r>
    <s v="ORD0636"/>
    <s v="2025-09-05"/>
    <x v="5"/>
    <n v="2025"/>
    <s v="Jennifer Arellano"/>
    <x v="3"/>
    <x v="0"/>
    <x v="14"/>
    <n v="2332.84"/>
    <n v="6"/>
    <n v="580.4"/>
  </r>
  <r>
    <s v="ORD0637"/>
    <s v="2025-10-12"/>
    <x v="3"/>
    <n v="2025"/>
    <s v="John Lambert"/>
    <x v="1"/>
    <x v="1"/>
    <x v="1"/>
    <n v="6728.82"/>
    <n v="6"/>
    <n v="1478.53"/>
  </r>
  <r>
    <s v="ORD0638"/>
    <s v="2025-02-27"/>
    <x v="1"/>
    <n v="2025"/>
    <s v="Glen Mclaughlin"/>
    <x v="6"/>
    <x v="2"/>
    <x v="17"/>
    <n v="49416.79"/>
    <n v="7"/>
    <n v="9788.4699999999993"/>
  </r>
  <r>
    <s v="ORD0639"/>
    <s v="2025-11-10"/>
    <x v="10"/>
    <n v="2025"/>
    <s v="Casey Wilson"/>
    <x v="0"/>
    <x v="0"/>
    <x v="9"/>
    <n v="11849.98"/>
    <n v="2"/>
    <n v="2343.33"/>
  </r>
  <r>
    <s v="ORD0640"/>
    <s v="2025-10-12"/>
    <x v="3"/>
    <n v="2025"/>
    <s v="John Larsen"/>
    <x v="1"/>
    <x v="2"/>
    <x v="5"/>
    <n v="15271.75"/>
    <n v="4"/>
    <n v="1277.44"/>
  </r>
  <r>
    <s v="ORD0641"/>
    <s v="2025-12-22"/>
    <x v="11"/>
    <n v="2025"/>
    <s v="Claire Perez"/>
    <x v="1"/>
    <x v="0"/>
    <x v="10"/>
    <n v="868.46"/>
    <n v="2"/>
    <n v="-39.61"/>
  </r>
  <r>
    <s v="ORD0642"/>
    <s v="2025-03-14"/>
    <x v="2"/>
    <n v="2025"/>
    <s v="Pamela Valentine"/>
    <x v="4"/>
    <x v="0"/>
    <x v="3"/>
    <n v="22321.62"/>
    <n v="7"/>
    <n v="3893.91"/>
  </r>
  <r>
    <s v="ORD0643"/>
    <s v="2025-09-19"/>
    <x v="5"/>
    <n v="2025"/>
    <s v="Cynthia Stone"/>
    <x v="5"/>
    <x v="1"/>
    <x v="1"/>
    <n v="30022.63"/>
    <n v="3"/>
    <n v="1385.39"/>
  </r>
  <r>
    <s v="ORD0644"/>
    <s v="2025-06-23"/>
    <x v="0"/>
    <n v="2025"/>
    <s v="Natasha Thomas"/>
    <x v="5"/>
    <x v="2"/>
    <x v="2"/>
    <n v="41366.53"/>
    <n v="7"/>
    <n v="4930.6899999999996"/>
  </r>
  <r>
    <s v="ORD0645"/>
    <s v="2025-12-17"/>
    <x v="11"/>
    <n v="2025"/>
    <s v="Robert Oliver"/>
    <x v="4"/>
    <x v="3"/>
    <x v="11"/>
    <n v="19597.349999999999"/>
    <n v="6"/>
    <n v="1859.78"/>
  </r>
  <r>
    <s v="ORD0646"/>
    <s v="2025-04-20"/>
    <x v="9"/>
    <n v="2025"/>
    <s v="Jacob Williams"/>
    <x v="5"/>
    <x v="3"/>
    <x v="18"/>
    <n v="33222.43"/>
    <n v="3"/>
    <n v="6612.26"/>
  </r>
  <r>
    <s v="ORD0647"/>
    <s v="2025-10-18"/>
    <x v="3"/>
    <n v="2025"/>
    <s v="Matthew Moore"/>
    <x v="2"/>
    <x v="2"/>
    <x v="19"/>
    <n v="20576.45"/>
    <n v="9"/>
    <n v="5173.1400000000003"/>
  </r>
  <r>
    <s v="ORD0648"/>
    <s v="2025-08-13"/>
    <x v="6"/>
    <n v="2025"/>
    <s v="Nicholas Boone"/>
    <x v="6"/>
    <x v="2"/>
    <x v="2"/>
    <n v="27157.22"/>
    <n v="3"/>
    <n v="-1067.45"/>
  </r>
  <r>
    <s v="ORD0649"/>
    <s v="2025-07-29"/>
    <x v="7"/>
    <n v="2025"/>
    <s v="Courtney Newman"/>
    <x v="4"/>
    <x v="1"/>
    <x v="7"/>
    <n v="39450.129999999997"/>
    <n v="1"/>
    <n v="-1641.78"/>
  </r>
  <r>
    <s v="ORD0650"/>
    <s v="2025-03-23"/>
    <x v="2"/>
    <n v="2025"/>
    <s v="Stephanie Deleon"/>
    <x v="0"/>
    <x v="2"/>
    <x v="2"/>
    <n v="24483.25"/>
    <n v="8"/>
    <n v="7159.05"/>
  </r>
  <r>
    <s v="ORD0651"/>
    <s v="2025-07-28"/>
    <x v="7"/>
    <n v="2025"/>
    <s v="Melinda Smith"/>
    <x v="3"/>
    <x v="2"/>
    <x v="17"/>
    <n v="19828.939999999999"/>
    <n v="3"/>
    <n v="3305.48"/>
  </r>
  <r>
    <s v="ORD0652"/>
    <s v="2025-04-09"/>
    <x v="9"/>
    <n v="2025"/>
    <s v="Eric Raymond"/>
    <x v="0"/>
    <x v="0"/>
    <x v="10"/>
    <n v="45789.09"/>
    <n v="3"/>
    <n v="7195.25"/>
  </r>
  <r>
    <s v="ORD0653"/>
    <s v="2025-07-23"/>
    <x v="7"/>
    <n v="2025"/>
    <s v="Juan Gilmore"/>
    <x v="6"/>
    <x v="1"/>
    <x v="8"/>
    <n v="28699.75"/>
    <n v="3"/>
    <n v="5038.25"/>
  </r>
  <r>
    <s v="ORD0654"/>
    <s v="2025-12-01"/>
    <x v="11"/>
    <n v="2025"/>
    <s v="John Miller"/>
    <x v="4"/>
    <x v="1"/>
    <x v="1"/>
    <n v="9048.0400000000009"/>
    <n v="8"/>
    <n v="1587.81"/>
  </r>
  <r>
    <s v="ORD0655"/>
    <s v="2025-08-23"/>
    <x v="6"/>
    <n v="2025"/>
    <s v="Melissa Hull"/>
    <x v="3"/>
    <x v="1"/>
    <x v="7"/>
    <n v="22938.14"/>
    <n v="8"/>
    <n v="-198.98"/>
  </r>
  <r>
    <s v="ORD0656"/>
    <s v="2025-04-18"/>
    <x v="9"/>
    <n v="2025"/>
    <s v="Erin Barnes"/>
    <x v="4"/>
    <x v="1"/>
    <x v="7"/>
    <n v="43754.39"/>
    <n v="6"/>
    <n v="2435.9699999999998"/>
  </r>
  <r>
    <s v="ORD0657"/>
    <s v="2025-12-11"/>
    <x v="11"/>
    <n v="2025"/>
    <s v="Kyle Bowen"/>
    <x v="1"/>
    <x v="1"/>
    <x v="12"/>
    <n v="28333.48"/>
    <n v="3"/>
    <n v="-406.17"/>
  </r>
  <r>
    <s v="ORD0658"/>
    <s v="2025-05-02"/>
    <x v="4"/>
    <n v="2025"/>
    <s v="Brooke Jackson"/>
    <x v="4"/>
    <x v="0"/>
    <x v="14"/>
    <n v="4079.29"/>
    <n v="7"/>
    <n v="1018.07"/>
  </r>
  <r>
    <s v="ORD0659"/>
    <s v="2025-07-31"/>
    <x v="7"/>
    <n v="2025"/>
    <s v="Katie Thomas"/>
    <x v="0"/>
    <x v="0"/>
    <x v="14"/>
    <n v="10400.31"/>
    <n v="2"/>
    <n v="2479.54"/>
  </r>
  <r>
    <s v="ORD0660"/>
    <s v="2025-08-20"/>
    <x v="6"/>
    <n v="2025"/>
    <s v="Heather Scott"/>
    <x v="0"/>
    <x v="1"/>
    <x v="4"/>
    <n v="30664.38"/>
    <n v="7"/>
    <n v="160.74"/>
  </r>
  <r>
    <s v="ORD0661"/>
    <s v="2025-03-07"/>
    <x v="2"/>
    <n v="2025"/>
    <s v="Marco Mitchell"/>
    <x v="4"/>
    <x v="0"/>
    <x v="14"/>
    <n v="11823.03"/>
    <n v="4"/>
    <n v="1850.38"/>
  </r>
  <r>
    <s v="ORD0662"/>
    <s v="2025-06-07"/>
    <x v="0"/>
    <n v="2025"/>
    <s v="Amber King"/>
    <x v="1"/>
    <x v="0"/>
    <x v="10"/>
    <n v="33926.089999999997"/>
    <n v="4"/>
    <n v="9138.23"/>
  </r>
  <r>
    <s v="ORD0663"/>
    <s v="2025-05-12"/>
    <x v="4"/>
    <n v="2025"/>
    <s v="Elizabeth Hill"/>
    <x v="5"/>
    <x v="1"/>
    <x v="7"/>
    <n v="29887.759999999998"/>
    <n v="2"/>
    <n v="-295.04000000000002"/>
  </r>
  <r>
    <s v="ORD0664"/>
    <s v="2025-07-27"/>
    <x v="7"/>
    <n v="2025"/>
    <s v="Andrea Thomas"/>
    <x v="0"/>
    <x v="3"/>
    <x v="6"/>
    <n v="44688.37"/>
    <n v="9"/>
    <n v="12868.59"/>
  </r>
  <r>
    <s v="ORD0665"/>
    <s v="2025-08-16"/>
    <x v="6"/>
    <n v="2025"/>
    <s v="Sarah Campbell"/>
    <x v="0"/>
    <x v="0"/>
    <x v="0"/>
    <n v="32569.59"/>
    <n v="4"/>
    <n v="9587.84"/>
  </r>
  <r>
    <s v="ORD0666"/>
    <s v="2025-01-13"/>
    <x v="8"/>
    <n v="2025"/>
    <s v="Theresa Burke"/>
    <x v="6"/>
    <x v="2"/>
    <x v="2"/>
    <n v="4555.9799999999996"/>
    <n v="6"/>
    <n v="1080.8800000000001"/>
  </r>
  <r>
    <s v="ORD0667"/>
    <s v="2025-10-16"/>
    <x v="3"/>
    <n v="2025"/>
    <s v="Loretta Adams"/>
    <x v="0"/>
    <x v="1"/>
    <x v="4"/>
    <n v="44363.07"/>
    <n v="3"/>
    <n v="13308.85"/>
  </r>
  <r>
    <s v="ORD0668"/>
    <s v="2025-02-14"/>
    <x v="1"/>
    <n v="2025"/>
    <s v="Brittany Gibbs"/>
    <x v="2"/>
    <x v="2"/>
    <x v="19"/>
    <n v="10014.94"/>
    <n v="7"/>
    <n v="1816.08"/>
  </r>
  <r>
    <s v="ORD0669"/>
    <s v="2025-03-25"/>
    <x v="2"/>
    <n v="2025"/>
    <s v="Michael Holmes"/>
    <x v="4"/>
    <x v="1"/>
    <x v="12"/>
    <n v="1538.97"/>
    <n v="1"/>
    <n v="-30.57"/>
  </r>
  <r>
    <s v="ORD0670"/>
    <s v="2025-01-17"/>
    <x v="8"/>
    <n v="2025"/>
    <s v="John Goodman"/>
    <x v="2"/>
    <x v="0"/>
    <x v="9"/>
    <n v="2281.62"/>
    <n v="1"/>
    <n v="437.49"/>
  </r>
  <r>
    <s v="ORD0671"/>
    <s v="2025-08-10"/>
    <x v="6"/>
    <n v="2025"/>
    <s v="Lindsey Erickson"/>
    <x v="1"/>
    <x v="1"/>
    <x v="7"/>
    <n v="28076.89"/>
    <n v="4"/>
    <n v="4814.92"/>
  </r>
  <r>
    <s v="ORD0672"/>
    <s v="2025-06-30"/>
    <x v="0"/>
    <n v="2025"/>
    <s v="Stephen Valentine"/>
    <x v="4"/>
    <x v="0"/>
    <x v="10"/>
    <n v="16573.939999999999"/>
    <n v="2"/>
    <n v="3453.64"/>
  </r>
  <r>
    <s v="ORD0673"/>
    <s v="2025-12-10"/>
    <x v="11"/>
    <n v="2025"/>
    <s v="Adriana Galvan"/>
    <x v="0"/>
    <x v="3"/>
    <x v="15"/>
    <n v="20335.18"/>
    <n v="7"/>
    <n v="1906.14"/>
  </r>
  <r>
    <s v="ORD0674"/>
    <s v="2025-02-10"/>
    <x v="1"/>
    <n v="2025"/>
    <s v="Angela Vasquez"/>
    <x v="2"/>
    <x v="0"/>
    <x v="0"/>
    <n v="14625.53"/>
    <n v="7"/>
    <n v="2033.37"/>
  </r>
  <r>
    <s v="ORD0675"/>
    <s v="2025-11-06"/>
    <x v="10"/>
    <n v="2025"/>
    <s v="Tony Bishop"/>
    <x v="0"/>
    <x v="0"/>
    <x v="9"/>
    <n v="35643.279999999999"/>
    <n v="5"/>
    <n v="-289.83"/>
  </r>
  <r>
    <s v="ORD0676"/>
    <s v="2025-12-09"/>
    <x v="11"/>
    <n v="2025"/>
    <s v="Daniel Trujillo"/>
    <x v="5"/>
    <x v="0"/>
    <x v="10"/>
    <n v="29522.29"/>
    <n v="9"/>
    <n v="2573.96"/>
  </r>
  <r>
    <s v="ORD0677"/>
    <s v="2025-10-25"/>
    <x v="3"/>
    <n v="2025"/>
    <s v="Dr. Christopher Calhoun"/>
    <x v="5"/>
    <x v="3"/>
    <x v="18"/>
    <n v="37063.730000000003"/>
    <n v="9"/>
    <n v="10673.58"/>
  </r>
  <r>
    <s v="ORD0678"/>
    <s v="2025-10-27"/>
    <x v="3"/>
    <n v="2025"/>
    <s v="Bryan Howard"/>
    <x v="3"/>
    <x v="1"/>
    <x v="12"/>
    <n v="17296.189999999999"/>
    <n v="1"/>
    <n v="398.89"/>
  </r>
  <r>
    <s v="ORD0679"/>
    <s v="2025-09-08"/>
    <x v="5"/>
    <n v="2025"/>
    <s v="Jason Wilkerson"/>
    <x v="4"/>
    <x v="3"/>
    <x v="18"/>
    <n v="26485.02"/>
    <n v="10"/>
    <n v="-1206.99"/>
  </r>
  <r>
    <s v="ORD0680"/>
    <s v="2025-11-13"/>
    <x v="10"/>
    <n v="2025"/>
    <s v="David Davis"/>
    <x v="2"/>
    <x v="1"/>
    <x v="12"/>
    <n v="41395.129999999997"/>
    <n v="8"/>
    <n v="7718.06"/>
  </r>
  <r>
    <s v="ORD0681"/>
    <s v="2025-08-28"/>
    <x v="6"/>
    <n v="2025"/>
    <s v="Frank Kelly"/>
    <x v="3"/>
    <x v="0"/>
    <x v="3"/>
    <n v="10939.85"/>
    <n v="9"/>
    <n v="-230.07"/>
  </r>
  <r>
    <s v="ORD0682"/>
    <s v="2025-08-30"/>
    <x v="6"/>
    <n v="2025"/>
    <s v="Danielle Ball"/>
    <x v="6"/>
    <x v="1"/>
    <x v="7"/>
    <n v="24593.33"/>
    <n v="3"/>
    <n v="-1025.19"/>
  </r>
  <r>
    <s v="ORD0683"/>
    <s v="2025-08-05"/>
    <x v="6"/>
    <n v="2025"/>
    <s v="Diane Harper"/>
    <x v="5"/>
    <x v="2"/>
    <x v="5"/>
    <n v="27779.7"/>
    <n v="5"/>
    <n v="3122.5"/>
  </r>
  <r>
    <s v="ORD0684"/>
    <s v="2025-04-20"/>
    <x v="9"/>
    <n v="2025"/>
    <s v="Charles Morgan"/>
    <x v="4"/>
    <x v="3"/>
    <x v="11"/>
    <n v="1831.52"/>
    <n v="5"/>
    <n v="245.77"/>
  </r>
  <r>
    <s v="ORD0685"/>
    <s v="2025-08-05"/>
    <x v="6"/>
    <n v="2025"/>
    <s v="Heather Nelson"/>
    <x v="6"/>
    <x v="3"/>
    <x v="18"/>
    <n v="12639.53"/>
    <n v="7"/>
    <n v="1322.09"/>
  </r>
  <r>
    <s v="ORD0686"/>
    <s v="2025-05-15"/>
    <x v="4"/>
    <n v="2025"/>
    <s v="Andrew Becker"/>
    <x v="1"/>
    <x v="2"/>
    <x v="19"/>
    <n v="13518.74"/>
    <n v="1"/>
    <n v="-129.61000000000001"/>
  </r>
  <r>
    <s v="ORD0687"/>
    <s v="2025-05-26"/>
    <x v="4"/>
    <n v="2025"/>
    <s v="Donald Jones"/>
    <x v="3"/>
    <x v="1"/>
    <x v="4"/>
    <n v="49577.61"/>
    <n v="4"/>
    <n v="14665.19"/>
  </r>
  <r>
    <s v="ORD0688"/>
    <s v="2025-05-23"/>
    <x v="4"/>
    <n v="2025"/>
    <s v="Stephanie Wilson"/>
    <x v="5"/>
    <x v="0"/>
    <x v="14"/>
    <n v="49935.57"/>
    <n v="7"/>
    <n v="-492.01"/>
  </r>
  <r>
    <s v="ORD0689"/>
    <s v="2025-07-21"/>
    <x v="7"/>
    <n v="2025"/>
    <s v="Rebecca Ray"/>
    <x v="5"/>
    <x v="1"/>
    <x v="4"/>
    <n v="39797.019999999997"/>
    <n v="10"/>
    <n v="10908.13"/>
  </r>
  <r>
    <s v="ORD0690"/>
    <s v="2025-01-17"/>
    <x v="8"/>
    <n v="2025"/>
    <s v="Nicholas Mitchell"/>
    <x v="1"/>
    <x v="1"/>
    <x v="7"/>
    <n v="34117.35"/>
    <n v="10"/>
    <n v="9662.4699999999993"/>
  </r>
  <r>
    <s v="ORD0691"/>
    <s v="2025-07-05"/>
    <x v="7"/>
    <n v="2025"/>
    <s v="Christopher Lara"/>
    <x v="2"/>
    <x v="0"/>
    <x v="14"/>
    <n v="9760.5300000000007"/>
    <n v="7"/>
    <n v="-134.19"/>
  </r>
  <r>
    <s v="ORD0692"/>
    <s v="2025-04-14"/>
    <x v="9"/>
    <n v="2025"/>
    <s v="Emily Benton"/>
    <x v="6"/>
    <x v="3"/>
    <x v="18"/>
    <n v="10644.7"/>
    <n v="7"/>
    <n v="2432.42"/>
  </r>
  <r>
    <s v="ORD0693"/>
    <s v="2025-07-21"/>
    <x v="7"/>
    <n v="2025"/>
    <s v="Mr. Sean Rivers"/>
    <x v="4"/>
    <x v="3"/>
    <x v="18"/>
    <n v="28868.38"/>
    <n v="9"/>
    <n v="4244.25"/>
  </r>
  <r>
    <s v="ORD0694"/>
    <s v="2025-01-26"/>
    <x v="8"/>
    <n v="2025"/>
    <s v="Matthew Bennett"/>
    <x v="1"/>
    <x v="0"/>
    <x v="3"/>
    <n v="11136.69"/>
    <n v="4"/>
    <n v="-360.42"/>
  </r>
  <r>
    <s v="ORD0695"/>
    <s v="2025-08-22"/>
    <x v="6"/>
    <n v="2025"/>
    <s v="Lisa Shelton"/>
    <x v="6"/>
    <x v="3"/>
    <x v="13"/>
    <n v="18836.759999999998"/>
    <n v="8"/>
    <n v="-150.19"/>
  </r>
  <r>
    <s v="ORD0696"/>
    <s v="2025-06-13"/>
    <x v="0"/>
    <n v="2025"/>
    <s v="Sharon Fowler"/>
    <x v="6"/>
    <x v="3"/>
    <x v="15"/>
    <n v="22582.720000000001"/>
    <n v="7"/>
    <n v="3996.04"/>
  </r>
  <r>
    <s v="ORD0697"/>
    <s v="2025-01-04"/>
    <x v="8"/>
    <n v="2025"/>
    <s v="Kenneth Johnson"/>
    <x v="1"/>
    <x v="3"/>
    <x v="11"/>
    <n v="21707.54"/>
    <n v="10"/>
    <n v="2863.51"/>
  </r>
  <r>
    <s v="ORD0698"/>
    <s v="2025-07-15"/>
    <x v="7"/>
    <n v="2025"/>
    <s v="Theresa Ramirez"/>
    <x v="1"/>
    <x v="2"/>
    <x v="2"/>
    <n v="35018.449999999997"/>
    <n v="8"/>
    <n v="6704.52"/>
  </r>
  <r>
    <s v="ORD0699"/>
    <s v="2025-03-26"/>
    <x v="2"/>
    <n v="2025"/>
    <s v="Julie Cobb"/>
    <x v="4"/>
    <x v="3"/>
    <x v="18"/>
    <n v="49203.15"/>
    <n v="3"/>
    <n v="4004.48"/>
  </r>
  <r>
    <s v="ORD0700"/>
    <s v="2025-01-09"/>
    <x v="8"/>
    <n v="2025"/>
    <s v="Heather Fisher"/>
    <x v="4"/>
    <x v="3"/>
    <x v="15"/>
    <n v="36464.57"/>
    <n v="1"/>
    <n v="6215.21"/>
  </r>
  <r>
    <s v="ORD0701"/>
    <s v="2025-02-06"/>
    <x v="1"/>
    <n v="2025"/>
    <s v="Heidi Hoover"/>
    <x v="1"/>
    <x v="0"/>
    <x v="0"/>
    <n v="42083.85"/>
    <n v="2"/>
    <n v="6897.15"/>
  </r>
  <r>
    <s v="ORD0702"/>
    <s v="2025-09-19"/>
    <x v="5"/>
    <n v="2025"/>
    <s v="Jeffrey Brown"/>
    <x v="0"/>
    <x v="0"/>
    <x v="14"/>
    <n v="17514.71"/>
    <n v="9"/>
    <n v="1435.87"/>
  </r>
  <r>
    <s v="ORD0703"/>
    <s v="2025-08-13"/>
    <x v="6"/>
    <n v="2025"/>
    <s v="Karen Wilcox"/>
    <x v="3"/>
    <x v="1"/>
    <x v="7"/>
    <n v="28208.73"/>
    <n v="8"/>
    <n v="407.19"/>
  </r>
  <r>
    <s v="ORD0704"/>
    <s v="2025-09-29"/>
    <x v="5"/>
    <n v="2025"/>
    <s v="Brianna Hester"/>
    <x v="0"/>
    <x v="2"/>
    <x v="2"/>
    <n v="12513.59"/>
    <n v="2"/>
    <n v="3649.51"/>
  </r>
  <r>
    <s v="ORD0705"/>
    <s v="2025-11-09"/>
    <x v="10"/>
    <n v="2025"/>
    <s v="Danielle English"/>
    <x v="5"/>
    <x v="3"/>
    <x v="13"/>
    <n v="12188.12"/>
    <n v="7"/>
    <n v="3648.43"/>
  </r>
  <r>
    <s v="ORD0706"/>
    <s v="2025-01-02"/>
    <x v="8"/>
    <n v="2025"/>
    <s v="Jessica Arias"/>
    <x v="0"/>
    <x v="0"/>
    <x v="9"/>
    <n v="9721.91"/>
    <n v="1"/>
    <n v="2835.94"/>
  </r>
  <r>
    <s v="ORD0707"/>
    <s v="2025-05-11"/>
    <x v="4"/>
    <n v="2025"/>
    <s v="Mandy Gordon"/>
    <x v="4"/>
    <x v="2"/>
    <x v="5"/>
    <n v="25327.19"/>
    <n v="4"/>
    <n v="4157.93"/>
  </r>
  <r>
    <s v="ORD0708"/>
    <s v="2025-06-20"/>
    <x v="0"/>
    <n v="2025"/>
    <s v="Hannah Williams"/>
    <x v="1"/>
    <x v="2"/>
    <x v="2"/>
    <n v="28176.74"/>
    <n v="2"/>
    <n v="1060.79"/>
  </r>
  <r>
    <s v="ORD0709"/>
    <s v="2025-06-14"/>
    <x v="0"/>
    <n v="2025"/>
    <s v="Bryan Buchanan"/>
    <x v="0"/>
    <x v="2"/>
    <x v="17"/>
    <n v="32352.29"/>
    <n v="4"/>
    <n v="1064.45"/>
  </r>
  <r>
    <s v="ORD0710"/>
    <s v="2025-01-31"/>
    <x v="8"/>
    <n v="2025"/>
    <s v="Timothy Washington"/>
    <x v="0"/>
    <x v="1"/>
    <x v="4"/>
    <n v="32230.68"/>
    <n v="3"/>
    <n v="3764.07"/>
  </r>
  <r>
    <s v="ORD0711"/>
    <s v="2025-11-11"/>
    <x v="10"/>
    <n v="2025"/>
    <s v="Kimberly Santos"/>
    <x v="5"/>
    <x v="0"/>
    <x v="14"/>
    <n v="8614.2199999999993"/>
    <n v="7"/>
    <n v="161.09"/>
  </r>
  <r>
    <s v="ORD0712"/>
    <s v="2025-03-14"/>
    <x v="2"/>
    <n v="2025"/>
    <s v="Julie Young DDS"/>
    <x v="0"/>
    <x v="2"/>
    <x v="5"/>
    <n v="13210.82"/>
    <n v="6"/>
    <n v="2292.2399999999998"/>
  </r>
  <r>
    <s v="ORD0713"/>
    <s v="2025-05-07"/>
    <x v="4"/>
    <n v="2025"/>
    <s v="Rachel Thomas"/>
    <x v="5"/>
    <x v="3"/>
    <x v="11"/>
    <n v="10515.91"/>
    <n v="8"/>
    <n v="739.06"/>
  </r>
  <r>
    <s v="ORD0714"/>
    <s v="2025-08-17"/>
    <x v="6"/>
    <n v="2025"/>
    <s v="Sheryl Greene"/>
    <x v="3"/>
    <x v="1"/>
    <x v="1"/>
    <n v="40302.300000000003"/>
    <n v="9"/>
    <n v="5911.98"/>
  </r>
  <r>
    <s v="ORD0715"/>
    <s v="2025-07-24"/>
    <x v="7"/>
    <n v="2025"/>
    <s v="Robert Parker"/>
    <x v="6"/>
    <x v="3"/>
    <x v="11"/>
    <n v="1970.43"/>
    <n v="9"/>
    <n v="239.84"/>
  </r>
  <r>
    <s v="ORD0716"/>
    <s v="2025-07-11"/>
    <x v="7"/>
    <n v="2025"/>
    <s v="David Bowen"/>
    <x v="0"/>
    <x v="3"/>
    <x v="6"/>
    <n v="16530.400000000001"/>
    <n v="1"/>
    <n v="1521"/>
  </r>
  <r>
    <s v="ORD0717"/>
    <s v="2025-05-13"/>
    <x v="4"/>
    <n v="2025"/>
    <s v="Richard Evans"/>
    <x v="3"/>
    <x v="1"/>
    <x v="1"/>
    <n v="29902.31"/>
    <n v="1"/>
    <n v="554.15"/>
  </r>
  <r>
    <s v="ORD0718"/>
    <s v="2025-11-04"/>
    <x v="10"/>
    <n v="2025"/>
    <s v="Stephanie Martin"/>
    <x v="3"/>
    <x v="3"/>
    <x v="15"/>
    <n v="22649.83"/>
    <n v="9"/>
    <n v="3778.87"/>
  </r>
  <r>
    <s v="ORD0719"/>
    <s v="2025-04-23"/>
    <x v="9"/>
    <n v="2025"/>
    <s v="Brian Sanchez"/>
    <x v="3"/>
    <x v="2"/>
    <x v="19"/>
    <n v="38323.79"/>
    <n v="3"/>
    <n v="4051.45"/>
  </r>
  <r>
    <s v="ORD0720"/>
    <s v="2025-11-18"/>
    <x v="10"/>
    <n v="2025"/>
    <s v="Jennifer Wells"/>
    <x v="0"/>
    <x v="2"/>
    <x v="19"/>
    <n v="41553.53"/>
    <n v="6"/>
    <n v="3686.2"/>
  </r>
  <r>
    <s v="ORD0721"/>
    <s v="2025-11-25"/>
    <x v="10"/>
    <n v="2025"/>
    <s v="Renee Acosta"/>
    <x v="6"/>
    <x v="2"/>
    <x v="19"/>
    <n v="38817.879999999997"/>
    <n v="6"/>
    <n v="9843.0400000000009"/>
  </r>
  <r>
    <s v="ORD0722"/>
    <s v="2025-11-02"/>
    <x v="10"/>
    <n v="2025"/>
    <s v="Michael Wilcox"/>
    <x v="3"/>
    <x v="3"/>
    <x v="11"/>
    <n v="32559.06"/>
    <n v="10"/>
    <n v="2659.47"/>
  </r>
  <r>
    <s v="ORD0723"/>
    <s v="2025-09-25"/>
    <x v="5"/>
    <n v="2025"/>
    <s v="Barbara Rowland"/>
    <x v="1"/>
    <x v="1"/>
    <x v="7"/>
    <n v="24396.5"/>
    <n v="5"/>
    <n v="610.27"/>
  </r>
  <r>
    <s v="ORD0724"/>
    <s v="2025-04-07"/>
    <x v="9"/>
    <n v="2025"/>
    <s v="Andrew Garrison"/>
    <x v="0"/>
    <x v="2"/>
    <x v="5"/>
    <n v="45780.959999999999"/>
    <n v="10"/>
    <n v="-482.08"/>
  </r>
  <r>
    <s v="ORD0725"/>
    <s v="2025-11-29"/>
    <x v="10"/>
    <n v="2025"/>
    <s v="Monica Evans"/>
    <x v="6"/>
    <x v="2"/>
    <x v="17"/>
    <n v="42581.77"/>
    <n v="2"/>
    <n v="8794.82"/>
  </r>
  <r>
    <s v="ORD0726"/>
    <s v="2025-02-19"/>
    <x v="1"/>
    <n v="2025"/>
    <s v="Stephanie Miller PhD"/>
    <x v="3"/>
    <x v="0"/>
    <x v="14"/>
    <n v="49185.45"/>
    <n v="6"/>
    <n v="2034.56"/>
  </r>
  <r>
    <s v="ORD0727"/>
    <s v="2025-04-10"/>
    <x v="9"/>
    <n v="2025"/>
    <s v="Jamie Murray"/>
    <x v="2"/>
    <x v="1"/>
    <x v="1"/>
    <n v="2675.72"/>
    <n v="10"/>
    <n v="92.87"/>
  </r>
  <r>
    <s v="ORD0728"/>
    <s v="2025-12-28"/>
    <x v="11"/>
    <n v="2025"/>
    <s v="Felicia Steele"/>
    <x v="5"/>
    <x v="1"/>
    <x v="12"/>
    <n v="47271.27"/>
    <n v="3"/>
    <n v="9207.4699999999993"/>
  </r>
  <r>
    <s v="ORD0729"/>
    <s v="2025-10-21"/>
    <x v="3"/>
    <n v="2025"/>
    <s v="George Frank"/>
    <x v="5"/>
    <x v="3"/>
    <x v="13"/>
    <n v="28416.32"/>
    <n v="2"/>
    <n v="2230.67"/>
  </r>
  <r>
    <s v="ORD0730"/>
    <s v="2025-10-28"/>
    <x v="3"/>
    <n v="2025"/>
    <s v="Jordan Hale"/>
    <x v="2"/>
    <x v="1"/>
    <x v="8"/>
    <n v="22098.29"/>
    <n v="9"/>
    <n v="182.56"/>
  </r>
  <r>
    <s v="ORD0731"/>
    <s v="2025-03-21"/>
    <x v="2"/>
    <n v="2025"/>
    <s v="Wanda Leblanc"/>
    <x v="5"/>
    <x v="2"/>
    <x v="5"/>
    <n v="9413.6"/>
    <n v="6"/>
    <n v="-288.08999999999997"/>
  </r>
  <r>
    <s v="ORD0732"/>
    <s v="2025-04-28"/>
    <x v="9"/>
    <n v="2025"/>
    <s v="Anna Smith"/>
    <x v="4"/>
    <x v="2"/>
    <x v="16"/>
    <n v="10984.38"/>
    <n v="9"/>
    <n v="923.13"/>
  </r>
  <r>
    <s v="ORD0733"/>
    <s v="2025-05-14"/>
    <x v="4"/>
    <n v="2025"/>
    <s v="Cody Wall"/>
    <x v="6"/>
    <x v="1"/>
    <x v="12"/>
    <n v="37091.160000000003"/>
    <n v="8"/>
    <n v="289.13"/>
  </r>
  <r>
    <s v="ORD0734"/>
    <s v="2025-08-19"/>
    <x v="6"/>
    <n v="2025"/>
    <s v="Gary Howard"/>
    <x v="4"/>
    <x v="2"/>
    <x v="19"/>
    <n v="40509.72"/>
    <n v="9"/>
    <n v="11690.26"/>
  </r>
  <r>
    <s v="ORD0735"/>
    <s v="2025-12-31"/>
    <x v="11"/>
    <n v="2025"/>
    <s v="Todd Lester"/>
    <x v="0"/>
    <x v="0"/>
    <x v="3"/>
    <n v="12630.55"/>
    <n v="1"/>
    <n v="311.38"/>
  </r>
  <r>
    <s v="ORD0736"/>
    <s v="2025-07-31"/>
    <x v="7"/>
    <n v="2025"/>
    <s v="Tyrone Beasley"/>
    <x v="4"/>
    <x v="2"/>
    <x v="17"/>
    <n v="36118.410000000003"/>
    <n v="4"/>
    <n v="4637.4799999999996"/>
  </r>
  <r>
    <s v="ORD0737"/>
    <s v="2025-02-17"/>
    <x v="1"/>
    <n v="2025"/>
    <s v="Jeffrey Cortez"/>
    <x v="2"/>
    <x v="2"/>
    <x v="5"/>
    <n v="42496.3"/>
    <n v="2"/>
    <n v="2625.62"/>
  </r>
  <r>
    <s v="ORD0738"/>
    <s v="2025-01-01"/>
    <x v="8"/>
    <n v="2025"/>
    <s v="David Gibson"/>
    <x v="0"/>
    <x v="1"/>
    <x v="7"/>
    <n v="11604.06"/>
    <n v="5"/>
    <n v="481.42"/>
  </r>
  <r>
    <s v="ORD0739"/>
    <s v="2025-04-11"/>
    <x v="9"/>
    <n v="2025"/>
    <s v="Brenda Ward"/>
    <x v="4"/>
    <x v="1"/>
    <x v="12"/>
    <n v="1022.95"/>
    <n v="3"/>
    <n v="131.76"/>
  </r>
  <r>
    <s v="ORD0740"/>
    <s v="2025-03-11"/>
    <x v="2"/>
    <n v="2025"/>
    <s v="Beth Harper"/>
    <x v="3"/>
    <x v="2"/>
    <x v="17"/>
    <n v="4629.32"/>
    <n v="9"/>
    <n v="402.23"/>
  </r>
  <r>
    <s v="ORD0741"/>
    <s v="2025-04-01"/>
    <x v="9"/>
    <n v="2025"/>
    <s v="Elizabeth Carter"/>
    <x v="0"/>
    <x v="1"/>
    <x v="8"/>
    <n v="8734.34"/>
    <n v="10"/>
    <n v="107.2"/>
  </r>
  <r>
    <s v="ORD0742"/>
    <s v="2025-06-30"/>
    <x v="0"/>
    <n v="2025"/>
    <s v="Kendra Lopez"/>
    <x v="6"/>
    <x v="1"/>
    <x v="8"/>
    <n v="4854.63"/>
    <n v="4"/>
    <n v="306.75"/>
  </r>
  <r>
    <s v="ORD0743"/>
    <s v="2025-01-16"/>
    <x v="8"/>
    <n v="2025"/>
    <s v="Julie Gilbert"/>
    <x v="0"/>
    <x v="1"/>
    <x v="12"/>
    <n v="26709.06"/>
    <n v="1"/>
    <n v="7386.83"/>
  </r>
  <r>
    <s v="ORD0744"/>
    <s v="2025-10-15"/>
    <x v="3"/>
    <n v="2025"/>
    <s v="Eduardo Martin"/>
    <x v="6"/>
    <x v="2"/>
    <x v="16"/>
    <n v="26182.2"/>
    <n v="4"/>
    <n v="2453.84"/>
  </r>
  <r>
    <s v="ORD0745"/>
    <s v="2025-04-17"/>
    <x v="9"/>
    <n v="2025"/>
    <s v="Gregory Turner"/>
    <x v="5"/>
    <x v="2"/>
    <x v="19"/>
    <n v="45307.66"/>
    <n v="5"/>
    <n v="1159.29"/>
  </r>
  <r>
    <s v="ORD0746"/>
    <s v="2025-08-24"/>
    <x v="6"/>
    <n v="2025"/>
    <s v="Katherine Curry"/>
    <x v="1"/>
    <x v="2"/>
    <x v="19"/>
    <n v="11140.47"/>
    <n v="6"/>
    <n v="2158.71"/>
  </r>
  <r>
    <s v="ORD0747"/>
    <s v="2025-04-17"/>
    <x v="9"/>
    <n v="2025"/>
    <s v="Mary Anderson"/>
    <x v="0"/>
    <x v="1"/>
    <x v="4"/>
    <n v="22975.54"/>
    <n v="6"/>
    <n v="-320.20999999999998"/>
  </r>
  <r>
    <s v="ORD0748"/>
    <s v="2025-07-04"/>
    <x v="7"/>
    <n v="2025"/>
    <s v="Paul Wolfe"/>
    <x v="1"/>
    <x v="1"/>
    <x v="7"/>
    <n v="23533.58"/>
    <n v="6"/>
    <n v="-1157.2"/>
  </r>
  <r>
    <s v="ORD0749"/>
    <s v="2025-02-01"/>
    <x v="1"/>
    <n v="2025"/>
    <s v="Anthony Robinson"/>
    <x v="2"/>
    <x v="1"/>
    <x v="1"/>
    <n v="43435.1"/>
    <n v="3"/>
    <n v="5962.15"/>
  </r>
  <r>
    <s v="ORD0750"/>
    <s v="2025-05-20"/>
    <x v="4"/>
    <n v="2025"/>
    <s v="Desiree Chapman"/>
    <x v="1"/>
    <x v="3"/>
    <x v="15"/>
    <n v="1128.77"/>
    <n v="2"/>
    <n v="176.35"/>
  </r>
  <r>
    <s v="ORD0751"/>
    <s v="2025-02-05"/>
    <x v="1"/>
    <n v="2025"/>
    <s v="Peter Soto"/>
    <x v="0"/>
    <x v="2"/>
    <x v="5"/>
    <n v="25306.01"/>
    <n v="4"/>
    <n v="4031.28"/>
  </r>
  <r>
    <s v="ORD0752"/>
    <s v="2025-06-17"/>
    <x v="0"/>
    <n v="2025"/>
    <s v="Samantha Davis"/>
    <x v="3"/>
    <x v="0"/>
    <x v="0"/>
    <n v="24805.57"/>
    <n v="10"/>
    <n v="-526.44000000000005"/>
  </r>
  <r>
    <s v="ORD0753"/>
    <s v="2025-08-08"/>
    <x v="6"/>
    <n v="2025"/>
    <s v="Leah Riley"/>
    <x v="4"/>
    <x v="2"/>
    <x v="5"/>
    <n v="43065.67"/>
    <n v="6"/>
    <n v="6040.93"/>
  </r>
  <r>
    <s v="ORD0754"/>
    <s v="2025-08-15"/>
    <x v="6"/>
    <n v="2025"/>
    <s v="Sandra Brock"/>
    <x v="5"/>
    <x v="2"/>
    <x v="2"/>
    <n v="35392.33"/>
    <n v="3"/>
    <n v="6277.45"/>
  </r>
  <r>
    <s v="ORD0755"/>
    <s v="2025-05-21"/>
    <x v="4"/>
    <n v="2025"/>
    <s v="Daniel Hendricks"/>
    <x v="4"/>
    <x v="2"/>
    <x v="2"/>
    <n v="1013.59"/>
    <n v="10"/>
    <n v="27.83"/>
  </r>
  <r>
    <s v="ORD0756"/>
    <s v="2025-05-03"/>
    <x v="4"/>
    <n v="2025"/>
    <s v="Chris Cox"/>
    <x v="1"/>
    <x v="2"/>
    <x v="2"/>
    <n v="10321.42"/>
    <n v="8"/>
    <n v="58.56"/>
  </r>
  <r>
    <s v="ORD0757"/>
    <s v="2025-03-21"/>
    <x v="2"/>
    <n v="2025"/>
    <s v="Michele Williams"/>
    <x v="6"/>
    <x v="0"/>
    <x v="10"/>
    <n v="8307.19"/>
    <n v="8"/>
    <n v="2382.2199999999998"/>
  </r>
  <r>
    <s v="ORD0758"/>
    <s v="2025-02-03"/>
    <x v="1"/>
    <n v="2025"/>
    <s v="Jeffrey Wilson"/>
    <x v="1"/>
    <x v="0"/>
    <x v="10"/>
    <n v="42341.11"/>
    <n v="7"/>
    <n v="924.16"/>
  </r>
  <r>
    <s v="ORD0759"/>
    <s v="2025-04-27"/>
    <x v="9"/>
    <n v="2025"/>
    <s v="Amber Baird"/>
    <x v="1"/>
    <x v="2"/>
    <x v="17"/>
    <n v="30108.11"/>
    <n v="3"/>
    <n v="1442.36"/>
  </r>
  <r>
    <s v="ORD0760"/>
    <s v="2025-06-29"/>
    <x v="0"/>
    <n v="2025"/>
    <s v="Henry Owens"/>
    <x v="0"/>
    <x v="3"/>
    <x v="13"/>
    <n v="44265.23"/>
    <n v="9"/>
    <n v="11051.35"/>
  </r>
  <r>
    <s v="ORD0761"/>
    <s v="2025-03-16"/>
    <x v="2"/>
    <n v="2025"/>
    <s v="Tanya Rodriguez"/>
    <x v="6"/>
    <x v="0"/>
    <x v="10"/>
    <n v="35385.57"/>
    <n v="3"/>
    <n v="7954.16"/>
  </r>
  <r>
    <s v="ORD0762"/>
    <s v="2025-02-18"/>
    <x v="1"/>
    <n v="2025"/>
    <s v="Patrick Douglas"/>
    <x v="0"/>
    <x v="1"/>
    <x v="1"/>
    <n v="15736.92"/>
    <n v="3"/>
    <n v="738.81"/>
  </r>
  <r>
    <s v="ORD0763"/>
    <s v="2025-07-07"/>
    <x v="7"/>
    <n v="2025"/>
    <s v="Michael Mcfarland"/>
    <x v="4"/>
    <x v="1"/>
    <x v="7"/>
    <n v="1173.6600000000001"/>
    <n v="9"/>
    <n v="287.12"/>
  </r>
  <r>
    <s v="ORD0764"/>
    <s v="2025-01-15"/>
    <x v="8"/>
    <n v="2025"/>
    <s v="Kimberly Brown"/>
    <x v="0"/>
    <x v="0"/>
    <x v="0"/>
    <n v="33746.75"/>
    <n v="6"/>
    <n v="1028.26"/>
  </r>
  <r>
    <s v="ORD0765"/>
    <s v="2025-11-18"/>
    <x v="10"/>
    <n v="2025"/>
    <s v="David Brown"/>
    <x v="5"/>
    <x v="2"/>
    <x v="17"/>
    <n v="2855.18"/>
    <n v="3"/>
    <n v="-127.93"/>
  </r>
  <r>
    <s v="ORD0766"/>
    <s v="2025-06-05"/>
    <x v="0"/>
    <n v="2025"/>
    <s v="Karen Mahoney"/>
    <x v="6"/>
    <x v="1"/>
    <x v="7"/>
    <n v="19107.32"/>
    <n v="9"/>
    <n v="1081.48"/>
  </r>
  <r>
    <s v="ORD0767"/>
    <s v="2025-10-23"/>
    <x v="3"/>
    <n v="2025"/>
    <s v="Ryan Harris"/>
    <x v="2"/>
    <x v="3"/>
    <x v="15"/>
    <n v="24000.52"/>
    <n v="7"/>
    <n v="4161.03"/>
  </r>
  <r>
    <s v="ORD0768"/>
    <s v="2025-08-31"/>
    <x v="6"/>
    <n v="2025"/>
    <s v="Jacqueline Craig"/>
    <x v="0"/>
    <x v="0"/>
    <x v="14"/>
    <n v="3252.54"/>
    <n v="3"/>
    <n v="941.49"/>
  </r>
  <r>
    <s v="ORD0769"/>
    <s v="2025-02-24"/>
    <x v="1"/>
    <n v="2025"/>
    <s v="Martin Pearson"/>
    <x v="6"/>
    <x v="0"/>
    <x v="0"/>
    <n v="34923.910000000003"/>
    <n v="9"/>
    <n v="4452.41"/>
  </r>
  <r>
    <s v="ORD0770"/>
    <s v="2025-04-16"/>
    <x v="9"/>
    <n v="2025"/>
    <s v="Jason Estrada"/>
    <x v="3"/>
    <x v="3"/>
    <x v="6"/>
    <n v="24534.76"/>
    <n v="1"/>
    <n v="3938.73"/>
  </r>
  <r>
    <s v="ORD0771"/>
    <s v="2025-10-15"/>
    <x v="3"/>
    <n v="2025"/>
    <s v="Emily Fields"/>
    <x v="2"/>
    <x v="1"/>
    <x v="8"/>
    <n v="19391.45"/>
    <n v="4"/>
    <n v="2759.58"/>
  </r>
  <r>
    <s v="ORD0772"/>
    <s v="2025-03-25"/>
    <x v="2"/>
    <n v="2025"/>
    <s v="Eric Quinn"/>
    <x v="4"/>
    <x v="2"/>
    <x v="19"/>
    <n v="38035.760000000002"/>
    <n v="8"/>
    <n v="-806.63"/>
  </r>
  <r>
    <s v="ORD0773"/>
    <s v="2025-04-21"/>
    <x v="9"/>
    <n v="2025"/>
    <s v="Rachel Reid"/>
    <x v="4"/>
    <x v="3"/>
    <x v="13"/>
    <n v="26084.25"/>
    <n v="9"/>
    <n v="418.82"/>
  </r>
  <r>
    <s v="ORD0774"/>
    <s v="2025-07-27"/>
    <x v="7"/>
    <n v="2025"/>
    <s v="Angela Lee"/>
    <x v="1"/>
    <x v="2"/>
    <x v="19"/>
    <n v="36275.519999999997"/>
    <n v="1"/>
    <n v="8199.0300000000007"/>
  </r>
  <r>
    <s v="ORD0775"/>
    <s v="2025-03-01"/>
    <x v="2"/>
    <n v="2025"/>
    <s v="Michael Greer"/>
    <x v="3"/>
    <x v="1"/>
    <x v="7"/>
    <n v="31621.25"/>
    <n v="8"/>
    <n v="9475.2199999999993"/>
  </r>
  <r>
    <s v="ORD0776"/>
    <s v="2025-04-20"/>
    <x v="9"/>
    <n v="2025"/>
    <s v="Ryan Turner"/>
    <x v="4"/>
    <x v="1"/>
    <x v="8"/>
    <n v="7788.35"/>
    <n v="2"/>
    <n v="1448.86"/>
  </r>
  <r>
    <s v="ORD0777"/>
    <s v="2025-12-05"/>
    <x v="11"/>
    <n v="2025"/>
    <s v="Sarah Alexander"/>
    <x v="5"/>
    <x v="2"/>
    <x v="19"/>
    <n v="30522.400000000001"/>
    <n v="8"/>
    <n v="3581.78"/>
  </r>
  <r>
    <s v="ORD0778"/>
    <s v="2025-01-29"/>
    <x v="8"/>
    <n v="2025"/>
    <s v="Yolanda Kim"/>
    <x v="3"/>
    <x v="0"/>
    <x v="9"/>
    <n v="34694.620000000003"/>
    <n v="2"/>
    <n v="-1358.86"/>
  </r>
  <r>
    <s v="ORD0779"/>
    <s v="2025-07-23"/>
    <x v="7"/>
    <n v="2025"/>
    <s v="Rebecca Williams"/>
    <x v="0"/>
    <x v="2"/>
    <x v="5"/>
    <n v="46459.29"/>
    <n v="4"/>
    <n v="5864.73"/>
  </r>
  <r>
    <s v="ORD0780"/>
    <s v="2025-04-15"/>
    <x v="9"/>
    <n v="2025"/>
    <s v="Luke Orr"/>
    <x v="4"/>
    <x v="0"/>
    <x v="10"/>
    <n v="41591.440000000002"/>
    <n v="9"/>
    <n v="7682.38"/>
  </r>
  <r>
    <s v="ORD0781"/>
    <s v="2025-11-25"/>
    <x v="10"/>
    <n v="2025"/>
    <s v="Tracey Dillon"/>
    <x v="0"/>
    <x v="3"/>
    <x v="18"/>
    <n v="34932.43"/>
    <n v="1"/>
    <n v="4625.76"/>
  </r>
  <r>
    <s v="ORD0782"/>
    <s v="2025-09-24"/>
    <x v="5"/>
    <n v="2025"/>
    <s v="Kirsten Green"/>
    <x v="2"/>
    <x v="2"/>
    <x v="16"/>
    <n v="43651.76"/>
    <n v="5"/>
    <n v="8778.5"/>
  </r>
  <r>
    <s v="ORD0783"/>
    <s v="2025-07-13"/>
    <x v="7"/>
    <n v="2025"/>
    <s v="Sarah Davis"/>
    <x v="5"/>
    <x v="1"/>
    <x v="4"/>
    <n v="40516.1"/>
    <n v="6"/>
    <n v="7722.96"/>
  </r>
  <r>
    <s v="ORD0784"/>
    <s v="2025-06-03"/>
    <x v="0"/>
    <n v="2025"/>
    <s v="Charles Johnson"/>
    <x v="4"/>
    <x v="0"/>
    <x v="14"/>
    <n v="31529.87"/>
    <n v="4"/>
    <n v="60.96"/>
  </r>
  <r>
    <s v="ORD0785"/>
    <s v="2025-07-17"/>
    <x v="7"/>
    <n v="2025"/>
    <s v="Tracy Fox"/>
    <x v="4"/>
    <x v="2"/>
    <x v="16"/>
    <n v="2362.5100000000002"/>
    <n v="4"/>
    <n v="274.89"/>
  </r>
  <r>
    <s v="ORD0786"/>
    <s v="2025-04-17"/>
    <x v="9"/>
    <n v="2025"/>
    <s v="James Ross"/>
    <x v="1"/>
    <x v="1"/>
    <x v="8"/>
    <n v="44353.66"/>
    <n v="7"/>
    <n v="8057.42"/>
  </r>
  <r>
    <s v="ORD0787"/>
    <s v="2025-07-20"/>
    <x v="7"/>
    <n v="2025"/>
    <s v="Lauren Oconnor"/>
    <x v="1"/>
    <x v="2"/>
    <x v="16"/>
    <n v="12152.78"/>
    <n v="6"/>
    <n v="2321.8200000000002"/>
  </r>
  <r>
    <s v="ORD0788"/>
    <s v="2025-07-15"/>
    <x v="7"/>
    <n v="2025"/>
    <s v="Larry Wise"/>
    <x v="0"/>
    <x v="0"/>
    <x v="10"/>
    <n v="22089.27"/>
    <n v="10"/>
    <n v="3992.13"/>
  </r>
  <r>
    <s v="ORD0789"/>
    <s v="2025-11-06"/>
    <x v="10"/>
    <n v="2025"/>
    <s v="Jacob Simpson"/>
    <x v="2"/>
    <x v="3"/>
    <x v="18"/>
    <n v="2768.6"/>
    <n v="6"/>
    <n v="23.52"/>
  </r>
  <r>
    <s v="ORD0790"/>
    <s v="2025-06-03"/>
    <x v="0"/>
    <n v="2025"/>
    <s v="Dr. Anna Lynch"/>
    <x v="2"/>
    <x v="3"/>
    <x v="13"/>
    <n v="44887.03"/>
    <n v="10"/>
    <n v="9307.2000000000007"/>
  </r>
  <r>
    <s v="ORD0791"/>
    <s v="2025-09-17"/>
    <x v="5"/>
    <n v="2025"/>
    <s v="Michael Torres"/>
    <x v="2"/>
    <x v="1"/>
    <x v="1"/>
    <n v="26067.74"/>
    <n v="9"/>
    <n v="1605.22"/>
  </r>
  <r>
    <s v="ORD0792"/>
    <s v="2025-12-02"/>
    <x v="11"/>
    <n v="2025"/>
    <s v="Heather Goodman"/>
    <x v="1"/>
    <x v="0"/>
    <x v="9"/>
    <n v="8553.98"/>
    <n v="10"/>
    <n v="2195.46"/>
  </r>
  <r>
    <s v="ORD0793"/>
    <s v="2025-07-15"/>
    <x v="7"/>
    <n v="2025"/>
    <s v="Tammy Jacobs"/>
    <x v="2"/>
    <x v="2"/>
    <x v="5"/>
    <n v="33074.769999999997"/>
    <n v="7"/>
    <n v="-1172.26"/>
  </r>
  <r>
    <s v="ORD0794"/>
    <s v="2025-07-16"/>
    <x v="7"/>
    <n v="2025"/>
    <s v="Brandi Flores"/>
    <x v="4"/>
    <x v="3"/>
    <x v="6"/>
    <n v="32111.759999999998"/>
    <n v="9"/>
    <n v="5193.99"/>
  </r>
  <r>
    <s v="ORD0795"/>
    <s v="2025-04-04"/>
    <x v="9"/>
    <n v="2025"/>
    <s v="Thomas Weeks"/>
    <x v="4"/>
    <x v="0"/>
    <x v="0"/>
    <n v="7602.05"/>
    <n v="10"/>
    <n v="864.44"/>
  </r>
  <r>
    <s v="ORD0796"/>
    <s v="2025-07-09"/>
    <x v="7"/>
    <n v="2025"/>
    <s v="Mandy Willis"/>
    <x v="2"/>
    <x v="0"/>
    <x v="14"/>
    <n v="2304.98"/>
    <n v="5"/>
    <n v="5.17"/>
  </r>
  <r>
    <s v="ORD0797"/>
    <s v="2025-12-12"/>
    <x v="11"/>
    <n v="2025"/>
    <s v="Jessica Palmer"/>
    <x v="5"/>
    <x v="0"/>
    <x v="14"/>
    <n v="36582.120000000003"/>
    <n v="5"/>
    <n v="4541.97"/>
  </r>
  <r>
    <s v="ORD0798"/>
    <s v="2025-09-20"/>
    <x v="5"/>
    <n v="2025"/>
    <s v="Darrell Brown"/>
    <x v="4"/>
    <x v="3"/>
    <x v="13"/>
    <n v="28878.86"/>
    <n v="3"/>
    <n v="5847.69"/>
  </r>
  <r>
    <s v="ORD0799"/>
    <s v="2025-10-27"/>
    <x v="3"/>
    <n v="2025"/>
    <s v="Alex Barton"/>
    <x v="6"/>
    <x v="1"/>
    <x v="7"/>
    <n v="29811.05"/>
    <n v="3"/>
    <n v="2122.4299999999998"/>
  </r>
  <r>
    <s v="ORD0800"/>
    <s v="2025-11-14"/>
    <x v="10"/>
    <n v="2025"/>
    <s v="Johnathan Peterson"/>
    <x v="3"/>
    <x v="0"/>
    <x v="0"/>
    <n v="15886.8"/>
    <n v="3"/>
    <n v="4183.63"/>
  </r>
  <r>
    <s v="ORD0801"/>
    <s v="2025-10-26"/>
    <x v="3"/>
    <n v="2025"/>
    <s v="Alicia Bryan"/>
    <x v="6"/>
    <x v="3"/>
    <x v="6"/>
    <n v="23647.46"/>
    <n v="8"/>
    <n v="1873.39"/>
  </r>
  <r>
    <s v="ORD0802"/>
    <s v="2025-09-16"/>
    <x v="5"/>
    <n v="2025"/>
    <s v="Melissa Hall"/>
    <x v="4"/>
    <x v="2"/>
    <x v="17"/>
    <n v="11801.83"/>
    <n v="5"/>
    <n v="566.45000000000005"/>
  </r>
  <r>
    <s v="ORD0803"/>
    <s v="2025-02-21"/>
    <x v="1"/>
    <n v="2025"/>
    <s v="Ronald Bell"/>
    <x v="0"/>
    <x v="3"/>
    <x v="11"/>
    <n v="29371.82"/>
    <n v="8"/>
    <n v="3441.42"/>
  </r>
  <r>
    <s v="ORD0804"/>
    <s v="2025-05-06"/>
    <x v="4"/>
    <n v="2025"/>
    <s v="Angela Hamilton"/>
    <x v="1"/>
    <x v="0"/>
    <x v="10"/>
    <n v="22986.01"/>
    <n v="6"/>
    <n v="3594.92"/>
  </r>
  <r>
    <s v="ORD0805"/>
    <s v="2025-11-17"/>
    <x v="10"/>
    <n v="2025"/>
    <s v="Dana Ruiz"/>
    <x v="6"/>
    <x v="3"/>
    <x v="11"/>
    <n v="21700.6"/>
    <n v="3"/>
    <n v="2052.67"/>
  </r>
  <r>
    <s v="ORD0806"/>
    <s v="2025-04-13"/>
    <x v="9"/>
    <n v="2025"/>
    <s v="Paula Mendoza"/>
    <x v="3"/>
    <x v="1"/>
    <x v="4"/>
    <n v="47597.64"/>
    <n v="4"/>
    <n v="-154.03"/>
  </r>
  <r>
    <s v="ORD0807"/>
    <s v="2025-08-14"/>
    <x v="6"/>
    <n v="2025"/>
    <s v="Sharon Williamson"/>
    <x v="1"/>
    <x v="0"/>
    <x v="9"/>
    <n v="6004.42"/>
    <n v="7"/>
    <n v="1080.3599999999999"/>
  </r>
  <r>
    <s v="ORD0808"/>
    <s v="2025-07-03"/>
    <x v="7"/>
    <n v="2025"/>
    <s v="Crystal Anderson"/>
    <x v="4"/>
    <x v="1"/>
    <x v="12"/>
    <n v="27442.959999999999"/>
    <n v="3"/>
    <n v="-851.04"/>
  </r>
  <r>
    <s v="ORD0809"/>
    <s v="2025-02-18"/>
    <x v="1"/>
    <n v="2025"/>
    <s v="Jacob Williams"/>
    <x v="1"/>
    <x v="2"/>
    <x v="17"/>
    <n v="42033.26"/>
    <n v="10"/>
    <n v="-75.86"/>
  </r>
  <r>
    <s v="ORD0810"/>
    <s v="2025-06-05"/>
    <x v="0"/>
    <n v="2025"/>
    <s v="David Shaffer"/>
    <x v="6"/>
    <x v="3"/>
    <x v="15"/>
    <n v="24753.95"/>
    <n v="10"/>
    <n v="6289.38"/>
  </r>
  <r>
    <s v="ORD0811"/>
    <s v="2025-11-16"/>
    <x v="10"/>
    <n v="2025"/>
    <s v="Ronald Carroll"/>
    <x v="6"/>
    <x v="0"/>
    <x v="10"/>
    <n v="28020.15"/>
    <n v="10"/>
    <n v="4861.8500000000004"/>
  </r>
  <r>
    <s v="ORD0812"/>
    <s v="2025-06-27"/>
    <x v="0"/>
    <n v="2025"/>
    <s v="Kimberly Valdez"/>
    <x v="2"/>
    <x v="2"/>
    <x v="17"/>
    <n v="29623.919999999998"/>
    <n v="6"/>
    <n v="5317.13"/>
  </r>
  <r>
    <s v="ORD0813"/>
    <s v="2025-07-11"/>
    <x v="7"/>
    <n v="2025"/>
    <s v="Lisa Watkins"/>
    <x v="5"/>
    <x v="3"/>
    <x v="18"/>
    <n v="25237.37"/>
    <n v="2"/>
    <n v="835.24"/>
  </r>
  <r>
    <s v="ORD0814"/>
    <s v="2025-12-01"/>
    <x v="11"/>
    <n v="2025"/>
    <s v="Vanessa Payne"/>
    <x v="0"/>
    <x v="0"/>
    <x v="14"/>
    <n v="15824.66"/>
    <n v="9"/>
    <n v="2436.46"/>
  </r>
  <r>
    <s v="ORD0815"/>
    <s v="2025-06-01"/>
    <x v="0"/>
    <n v="2025"/>
    <s v="Angela James"/>
    <x v="1"/>
    <x v="2"/>
    <x v="16"/>
    <n v="38598.22"/>
    <n v="9"/>
    <n v="3927.58"/>
  </r>
  <r>
    <s v="ORD0816"/>
    <s v="2025-06-26"/>
    <x v="0"/>
    <n v="2025"/>
    <s v="Krista Casey"/>
    <x v="4"/>
    <x v="1"/>
    <x v="7"/>
    <n v="13350.19"/>
    <n v="6"/>
    <n v="3602.12"/>
  </r>
  <r>
    <s v="ORD0817"/>
    <s v="2025-10-13"/>
    <x v="3"/>
    <n v="2025"/>
    <s v="Pam Ferguson"/>
    <x v="4"/>
    <x v="1"/>
    <x v="8"/>
    <n v="18171.55"/>
    <n v="7"/>
    <n v="1035.49"/>
  </r>
  <r>
    <s v="ORD0818"/>
    <s v="2025-10-12"/>
    <x v="3"/>
    <n v="2025"/>
    <s v="Cynthia Williams"/>
    <x v="2"/>
    <x v="3"/>
    <x v="13"/>
    <n v="42850.879999999997"/>
    <n v="6"/>
    <n v="11829.85"/>
  </r>
  <r>
    <s v="ORD0819"/>
    <s v="2025-12-02"/>
    <x v="11"/>
    <n v="2025"/>
    <s v="Kayla Gilmore"/>
    <x v="5"/>
    <x v="0"/>
    <x v="3"/>
    <n v="33453.53"/>
    <n v="10"/>
    <n v="7335.88"/>
  </r>
  <r>
    <s v="ORD0820"/>
    <s v="2025-03-02"/>
    <x v="2"/>
    <n v="2025"/>
    <s v="Kyle Richardson"/>
    <x v="2"/>
    <x v="3"/>
    <x v="13"/>
    <n v="23866.48"/>
    <n v="2"/>
    <n v="2411.7800000000002"/>
  </r>
  <r>
    <s v="ORD0821"/>
    <s v="2025-02-18"/>
    <x v="1"/>
    <n v="2025"/>
    <s v="Shelly Turner"/>
    <x v="3"/>
    <x v="2"/>
    <x v="5"/>
    <n v="8791.2999999999993"/>
    <n v="5"/>
    <n v="792.81"/>
  </r>
  <r>
    <s v="ORD0822"/>
    <s v="2025-08-31"/>
    <x v="6"/>
    <n v="2025"/>
    <s v="Samantha Holmes"/>
    <x v="5"/>
    <x v="0"/>
    <x v="0"/>
    <n v="47404.45"/>
    <n v="1"/>
    <n v="-1875.67"/>
  </r>
  <r>
    <s v="ORD0823"/>
    <s v="2025-03-26"/>
    <x v="2"/>
    <n v="2025"/>
    <s v="Ariana Mitchell"/>
    <x v="5"/>
    <x v="1"/>
    <x v="4"/>
    <n v="22327.57"/>
    <n v="8"/>
    <n v="281.47000000000003"/>
  </r>
  <r>
    <s v="ORD0824"/>
    <s v="2025-06-20"/>
    <x v="0"/>
    <n v="2025"/>
    <s v="Ashley Huffman"/>
    <x v="5"/>
    <x v="1"/>
    <x v="1"/>
    <n v="35920.71"/>
    <n v="3"/>
    <n v="2957.76"/>
  </r>
  <r>
    <s v="ORD0825"/>
    <s v="2025-01-28"/>
    <x v="8"/>
    <n v="2025"/>
    <s v="Lauren Turner"/>
    <x v="6"/>
    <x v="3"/>
    <x v="11"/>
    <n v="8801.23"/>
    <n v="3"/>
    <n v="875.89"/>
  </r>
  <r>
    <s v="ORD0826"/>
    <s v="2025-10-07"/>
    <x v="3"/>
    <n v="2025"/>
    <s v="Carlos Brewer"/>
    <x v="1"/>
    <x v="0"/>
    <x v="14"/>
    <n v="19910.560000000001"/>
    <n v="1"/>
    <n v="1041.02"/>
  </r>
  <r>
    <s v="ORD0827"/>
    <s v="2025-02-07"/>
    <x v="1"/>
    <n v="2025"/>
    <s v="Michael Henry"/>
    <x v="0"/>
    <x v="0"/>
    <x v="10"/>
    <n v="10441.49"/>
    <n v="1"/>
    <n v="866.53"/>
  </r>
  <r>
    <s v="ORD0828"/>
    <s v="2025-03-13"/>
    <x v="2"/>
    <n v="2025"/>
    <s v="Catherine Friedman"/>
    <x v="2"/>
    <x v="2"/>
    <x v="17"/>
    <n v="1135.3399999999999"/>
    <n v="10"/>
    <n v="-5.84"/>
  </r>
  <r>
    <s v="ORD0829"/>
    <s v="2025-06-09"/>
    <x v="0"/>
    <n v="2025"/>
    <s v="Tammy Brooks"/>
    <x v="4"/>
    <x v="0"/>
    <x v="3"/>
    <n v="27897.58"/>
    <n v="8"/>
    <n v="4490.22"/>
  </r>
  <r>
    <s v="ORD0830"/>
    <s v="2025-08-24"/>
    <x v="6"/>
    <n v="2025"/>
    <s v="Kevin Atkins"/>
    <x v="2"/>
    <x v="1"/>
    <x v="4"/>
    <n v="47157.38"/>
    <n v="4"/>
    <n v="4290.03"/>
  </r>
  <r>
    <s v="ORD0831"/>
    <s v="2025-11-26"/>
    <x v="10"/>
    <n v="2025"/>
    <s v="Mark Winters"/>
    <x v="2"/>
    <x v="0"/>
    <x v="9"/>
    <n v="4709.99"/>
    <n v="6"/>
    <n v="1347.31"/>
  </r>
  <r>
    <s v="ORD0832"/>
    <s v="2025-08-19"/>
    <x v="6"/>
    <n v="2025"/>
    <s v="Catherine Moore"/>
    <x v="6"/>
    <x v="0"/>
    <x v="3"/>
    <n v="15324.41"/>
    <n v="8"/>
    <n v="-534.49"/>
  </r>
  <r>
    <s v="ORD0833"/>
    <s v="2025-11-13"/>
    <x v="10"/>
    <n v="2025"/>
    <s v="Megan Thomas"/>
    <x v="3"/>
    <x v="3"/>
    <x v="11"/>
    <n v="34467.599999999999"/>
    <n v="7"/>
    <n v="4793.68"/>
  </r>
  <r>
    <s v="ORD0834"/>
    <s v="2025-12-09"/>
    <x v="11"/>
    <n v="2025"/>
    <s v="Cynthia Griffin"/>
    <x v="0"/>
    <x v="0"/>
    <x v="10"/>
    <n v="46454.46"/>
    <n v="5"/>
    <n v="7045.69"/>
  </r>
  <r>
    <s v="ORD0835"/>
    <s v="2025-11-13"/>
    <x v="10"/>
    <n v="2025"/>
    <s v="Katie Beasley"/>
    <x v="2"/>
    <x v="0"/>
    <x v="9"/>
    <n v="19671.740000000002"/>
    <n v="9"/>
    <n v="3349.63"/>
  </r>
  <r>
    <s v="ORD0836"/>
    <s v="2025-04-02"/>
    <x v="9"/>
    <n v="2025"/>
    <s v="Kenneth Ward"/>
    <x v="6"/>
    <x v="2"/>
    <x v="2"/>
    <n v="4606.3900000000003"/>
    <n v="2"/>
    <n v="1199.75"/>
  </r>
  <r>
    <s v="ORD0837"/>
    <s v="2025-03-15"/>
    <x v="2"/>
    <n v="2025"/>
    <s v="Leslie Stewart"/>
    <x v="5"/>
    <x v="3"/>
    <x v="6"/>
    <n v="3446.87"/>
    <n v="6"/>
    <n v="978.58"/>
  </r>
  <r>
    <s v="ORD0838"/>
    <s v="2025-05-01"/>
    <x v="4"/>
    <n v="2025"/>
    <s v="Kenneth Vincent"/>
    <x v="4"/>
    <x v="1"/>
    <x v="8"/>
    <n v="5860.23"/>
    <n v="10"/>
    <n v="753.21"/>
  </r>
  <r>
    <s v="ORD0839"/>
    <s v="2025-05-20"/>
    <x v="4"/>
    <n v="2025"/>
    <s v="William Mcbride"/>
    <x v="1"/>
    <x v="1"/>
    <x v="7"/>
    <n v="31030.94"/>
    <n v="6"/>
    <n v="1176.55"/>
  </r>
  <r>
    <s v="ORD0840"/>
    <s v="2025-12-23"/>
    <x v="11"/>
    <n v="2025"/>
    <s v="Alan Rose"/>
    <x v="5"/>
    <x v="2"/>
    <x v="5"/>
    <n v="43860.34"/>
    <n v="7"/>
    <n v="8820.33"/>
  </r>
  <r>
    <s v="ORD0841"/>
    <s v="2025-04-05"/>
    <x v="9"/>
    <n v="2025"/>
    <s v="Susan Wilson"/>
    <x v="5"/>
    <x v="2"/>
    <x v="2"/>
    <n v="17357.650000000001"/>
    <n v="6"/>
    <n v="3426.28"/>
  </r>
  <r>
    <s v="ORD0842"/>
    <s v="2025-03-26"/>
    <x v="2"/>
    <n v="2025"/>
    <s v="Joe Murphy"/>
    <x v="6"/>
    <x v="0"/>
    <x v="0"/>
    <n v="19437.29"/>
    <n v="1"/>
    <n v="5751.47"/>
  </r>
  <r>
    <s v="ORD0843"/>
    <s v="2025-05-01"/>
    <x v="4"/>
    <n v="2025"/>
    <s v="Stacy Garcia"/>
    <x v="2"/>
    <x v="3"/>
    <x v="11"/>
    <n v="24236.3"/>
    <n v="1"/>
    <n v="2401"/>
  </r>
  <r>
    <s v="ORD0844"/>
    <s v="2025-05-03"/>
    <x v="4"/>
    <n v="2025"/>
    <s v="Chad Schultz"/>
    <x v="0"/>
    <x v="0"/>
    <x v="9"/>
    <n v="30538.63"/>
    <n v="3"/>
    <n v="6481.62"/>
  </r>
  <r>
    <s v="ORD0845"/>
    <s v="2025-07-23"/>
    <x v="7"/>
    <n v="2025"/>
    <s v="Audrey Hall"/>
    <x v="3"/>
    <x v="0"/>
    <x v="14"/>
    <n v="38693.599999999999"/>
    <n v="10"/>
    <n v="-1687.82"/>
  </r>
  <r>
    <s v="ORD0846"/>
    <s v="2025-08-13"/>
    <x v="6"/>
    <n v="2025"/>
    <s v="Larry Greer"/>
    <x v="2"/>
    <x v="0"/>
    <x v="3"/>
    <n v="20909.04"/>
    <n v="7"/>
    <n v="1344.28"/>
  </r>
  <r>
    <s v="ORD0847"/>
    <s v="2025-12-15"/>
    <x v="11"/>
    <n v="2025"/>
    <s v="Tara Wilson"/>
    <x v="1"/>
    <x v="2"/>
    <x v="16"/>
    <n v="6121.84"/>
    <n v="6"/>
    <n v="993"/>
  </r>
  <r>
    <s v="ORD0848"/>
    <s v="2025-06-03"/>
    <x v="0"/>
    <n v="2025"/>
    <s v="Jeffrey Parrish"/>
    <x v="5"/>
    <x v="2"/>
    <x v="19"/>
    <n v="31071.27"/>
    <n v="1"/>
    <n v="6259.75"/>
  </r>
  <r>
    <s v="ORD0849"/>
    <s v="2025-09-15"/>
    <x v="5"/>
    <n v="2025"/>
    <s v="John Sanchez"/>
    <x v="1"/>
    <x v="3"/>
    <x v="11"/>
    <n v="24209.7"/>
    <n v="5"/>
    <n v="6603.75"/>
  </r>
  <r>
    <s v="ORD0850"/>
    <s v="2025-03-30"/>
    <x v="2"/>
    <n v="2025"/>
    <s v="Larry Crosby"/>
    <x v="2"/>
    <x v="1"/>
    <x v="1"/>
    <n v="37707.230000000003"/>
    <n v="1"/>
    <n v="2619.85"/>
  </r>
  <r>
    <s v="ORD0851"/>
    <s v="2025-08-26"/>
    <x v="6"/>
    <n v="2025"/>
    <s v="Anita Glass"/>
    <x v="1"/>
    <x v="3"/>
    <x v="15"/>
    <n v="26059.77"/>
    <n v="5"/>
    <n v="891.8"/>
  </r>
  <r>
    <s v="ORD0852"/>
    <s v="2025-03-26"/>
    <x v="2"/>
    <n v="2025"/>
    <s v="Laura Dunn"/>
    <x v="3"/>
    <x v="0"/>
    <x v="9"/>
    <n v="30980.76"/>
    <n v="3"/>
    <n v="8615.7199999999993"/>
  </r>
  <r>
    <s v="ORD0853"/>
    <s v="2025-12-21"/>
    <x v="11"/>
    <n v="2025"/>
    <s v="Jonathan Price"/>
    <x v="3"/>
    <x v="3"/>
    <x v="13"/>
    <n v="33574.339999999997"/>
    <n v="8"/>
    <n v="2190.83"/>
  </r>
  <r>
    <s v="ORD0854"/>
    <s v="2025-03-15"/>
    <x v="2"/>
    <n v="2025"/>
    <s v="Sherry Becker"/>
    <x v="3"/>
    <x v="3"/>
    <x v="18"/>
    <n v="46197.17"/>
    <n v="9"/>
    <n v="8870.07"/>
  </r>
  <r>
    <s v="ORD0855"/>
    <s v="2025-11-16"/>
    <x v="10"/>
    <n v="2025"/>
    <s v="Maria Turner"/>
    <x v="1"/>
    <x v="2"/>
    <x v="16"/>
    <n v="21303.8"/>
    <n v="2"/>
    <n v="-698.75"/>
  </r>
  <r>
    <s v="ORD0856"/>
    <s v="2025-06-23"/>
    <x v="0"/>
    <n v="2025"/>
    <s v="Laura Wyatt"/>
    <x v="5"/>
    <x v="3"/>
    <x v="11"/>
    <n v="18319.12"/>
    <n v="3"/>
    <n v="-115.8"/>
  </r>
  <r>
    <s v="ORD0857"/>
    <s v="2025-09-26"/>
    <x v="5"/>
    <n v="2025"/>
    <s v="Renee Simpson"/>
    <x v="3"/>
    <x v="1"/>
    <x v="4"/>
    <n v="4096.58"/>
    <n v="3"/>
    <n v="200.81"/>
  </r>
  <r>
    <s v="ORD0858"/>
    <s v="2025-10-06"/>
    <x v="3"/>
    <n v="2025"/>
    <s v="Eileen Saunders"/>
    <x v="5"/>
    <x v="1"/>
    <x v="4"/>
    <n v="43997.37"/>
    <n v="4"/>
    <n v="1897.87"/>
  </r>
  <r>
    <s v="ORD0859"/>
    <s v="2025-03-11"/>
    <x v="2"/>
    <n v="2025"/>
    <s v="Charles Schmidt"/>
    <x v="2"/>
    <x v="1"/>
    <x v="8"/>
    <n v="29756.79"/>
    <n v="7"/>
    <n v="-591.36"/>
  </r>
  <r>
    <s v="ORD0860"/>
    <s v="2025-09-06"/>
    <x v="5"/>
    <n v="2025"/>
    <s v="Scott Griffin"/>
    <x v="3"/>
    <x v="1"/>
    <x v="1"/>
    <n v="28568.68"/>
    <n v="5"/>
    <n v="-1295.5"/>
  </r>
  <r>
    <s v="ORD0861"/>
    <s v="2025-12-03"/>
    <x v="11"/>
    <n v="2025"/>
    <s v="Melissa Stein"/>
    <x v="6"/>
    <x v="1"/>
    <x v="1"/>
    <n v="28168.71"/>
    <n v="3"/>
    <n v="-1067.4100000000001"/>
  </r>
  <r>
    <s v="ORD0862"/>
    <s v="2025-06-30"/>
    <x v="0"/>
    <n v="2025"/>
    <s v="Wesley Wilson"/>
    <x v="2"/>
    <x v="1"/>
    <x v="8"/>
    <n v="37374.199999999997"/>
    <n v="10"/>
    <n v="-57.52"/>
  </r>
  <r>
    <s v="ORD0863"/>
    <s v="2025-09-14"/>
    <x v="5"/>
    <n v="2025"/>
    <s v="Brandon Torres"/>
    <x v="4"/>
    <x v="3"/>
    <x v="6"/>
    <n v="48607.61"/>
    <n v="4"/>
    <n v="4903.8100000000004"/>
  </r>
  <r>
    <s v="ORD0864"/>
    <s v="2025-09-01"/>
    <x v="5"/>
    <n v="2025"/>
    <s v="Jessica Heath"/>
    <x v="5"/>
    <x v="2"/>
    <x v="5"/>
    <n v="17377.64"/>
    <n v="4"/>
    <n v="3341.34"/>
  </r>
  <r>
    <s v="ORD0865"/>
    <s v="2025-05-10"/>
    <x v="4"/>
    <n v="2025"/>
    <s v="Zachary Thomas"/>
    <x v="2"/>
    <x v="0"/>
    <x v="14"/>
    <n v="33276.410000000003"/>
    <n v="9"/>
    <n v="9938.9"/>
  </r>
  <r>
    <s v="ORD0866"/>
    <s v="2025-06-15"/>
    <x v="0"/>
    <n v="2025"/>
    <s v="Justin Mckinney"/>
    <x v="6"/>
    <x v="3"/>
    <x v="11"/>
    <n v="25626.67"/>
    <n v="2"/>
    <n v="1068.71"/>
  </r>
  <r>
    <s v="ORD0867"/>
    <s v="2025-12-10"/>
    <x v="11"/>
    <n v="2025"/>
    <s v="Daniel Murray"/>
    <x v="6"/>
    <x v="0"/>
    <x v="9"/>
    <n v="24945"/>
    <n v="10"/>
    <n v="4420.8"/>
  </r>
  <r>
    <s v="ORD0868"/>
    <s v="2025-12-02"/>
    <x v="11"/>
    <n v="2025"/>
    <s v="Kevin Mcfarland"/>
    <x v="1"/>
    <x v="3"/>
    <x v="6"/>
    <n v="35084.68"/>
    <n v="10"/>
    <n v="4804.22"/>
  </r>
  <r>
    <s v="ORD0869"/>
    <s v="2025-05-30"/>
    <x v="4"/>
    <n v="2025"/>
    <s v="James Beck"/>
    <x v="6"/>
    <x v="3"/>
    <x v="13"/>
    <n v="7974.18"/>
    <n v="2"/>
    <n v="1897.93"/>
  </r>
  <r>
    <s v="ORD0870"/>
    <s v="2025-09-17"/>
    <x v="5"/>
    <n v="2025"/>
    <s v="Lori Calhoun"/>
    <x v="5"/>
    <x v="0"/>
    <x v="0"/>
    <n v="24292.25"/>
    <n v="7"/>
    <n v="5985.49"/>
  </r>
  <r>
    <s v="ORD0871"/>
    <s v="2025-07-28"/>
    <x v="7"/>
    <n v="2025"/>
    <s v="Tyler Lopez"/>
    <x v="5"/>
    <x v="0"/>
    <x v="0"/>
    <n v="43775.56"/>
    <n v="10"/>
    <n v="10787.51"/>
  </r>
  <r>
    <s v="ORD0872"/>
    <s v="2025-01-21"/>
    <x v="8"/>
    <n v="2025"/>
    <s v="Patricia Vasquez"/>
    <x v="5"/>
    <x v="1"/>
    <x v="1"/>
    <n v="46874.19"/>
    <n v="4"/>
    <n v="3749.26"/>
  </r>
  <r>
    <s v="ORD0873"/>
    <s v="2025-05-19"/>
    <x v="4"/>
    <n v="2025"/>
    <s v="Lisa Rodriguez"/>
    <x v="4"/>
    <x v="1"/>
    <x v="7"/>
    <n v="31775.14"/>
    <n v="9"/>
    <n v="5595.46"/>
  </r>
  <r>
    <s v="ORD0874"/>
    <s v="2025-07-08"/>
    <x v="7"/>
    <n v="2025"/>
    <s v="Melinda Castaneda"/>
    <x v="2"/>
    <x v="1"/>
    <x v="7"/>
    <n v="20495.669999999998"/>
    <n v="10"/>
    <n v="4334.6400000000003"/>
  </r>
  <r>
    <s v="ORD0875"/>
    <s v="2025-10-17"/>
    <x v="3"/>
    <n v="2025"/>
    <s v="Brandon White"/>
    <x v="3"/>
    <x v="3"/>
    <x v="11"/>
    <n v="13663.93"/>
    <n v="9"/>
    <n v="1515.08"/>
  </r>
  <r>
    <s v="ORD0876"/>
    <s v="2025-12-14"/>
    <x v="11"/>
    <n v="2025"/>
    <s v="Nicholas Ward"/>
    <x v="6"/>
    <x v="3"/>
    <x v="15"/>
    <n v="24768.33"/>
    <n v="6"/>
    <n v="3009.63"/>
  </r>
  <r>
    <s v="ORD0877"/>
    <s v="2025-08-25"/>
    <x v="6"/>
    <n v="2025"/>
    <s v="Joseph Foley"/>
    <x v="2"/>
    <x v="0"/>
    <x v="3"/>
    <n v="29835.7"/>
    <n v="4"/>
    <n v="956.27"/>
  </r>
  <r>
    <s v="ORD0878"/>
    <s v="2025-06-08"/>
    <x v="0"/>
    <n v="2025"/>
    <s v="Debra Butler"/>
    <x v="1"/>
    <x v="2"/>
    <x v="5"/>
    <n v="16149.56"/>
    <n v="10"/>
    <n v="4713.72"/>
  </r>
  <r>
    <s v="ORD0879"/>
    <s v="2025-07-30"/>
    <x v="7"/>
    <n v="2025"/>
    <s v="Joseph Hall"/>
    <x v="3"/>
    <x v="0"/>
    <x v="9"/>
    <n v="32171.39"/>
    <n v="8"/>
    <n v="2257.85"/>
  </r>
  <r>
    <s v="ORD0880"/>
    <s v="2025-07-25"/>
    <x v="7"/>
    <n v="2025"/>
    <s v="William Lucero"/>
    <x v="5"/>
    <x v="3"/>
    <x v="15"/>
    <n v="10088.98"/>
    <n v="3"/>
    <n v="-87.07"/>
  </r>
  <r>
    <s v="ORD0881"/>
    <s v="2025-12-10"/>
    <x v="11"/>
    <n v="2025"/>
    <s v="Christopher Miller"/>
    <x v="4"/>
    <x v="2"/>
    <x v="17"/>
    <n v="3413.16"/>
    <n v="8"/>
    <n v="956.94"/>
  </r>
  <r>
    <s v="ORD0882"/>
    <s v="2025-05-21"/>
    <x v="4"/>
    <n v="2025"/>
    <s v="Diana White"/>
    <x v="5"/>
    <x v="1"/>
    <x v="4"/>
    <n v="28036.34"/>
    <n v="10"/>
    <n v="5107.74"/>
  </r>
  <r>
    <s v="ORD0883"/>
    <s v="2025-07-26"/>
    <x v="7"/>
    <n v="2025"/>
    <s v="Megan Smith"/>
    <x v="4"/>
    <x v="3"/>
    <x v="15"/>
    <n v="37531.18"/>
    <n v="9"/>
    <n v="10472.65"/>
  </r>
  <r>
    <s v="ORD0884"/>
    <s v="2025-04-29"/>
    <x v="9"/>
    <n v="2025"/>
    <s v="Brenda Hanson"/>
    <x v="6"/>
    <x v="2"/>
    <x v="19"/>
    <n v="33098.160000000003"/>
    <n v="8"/>
    <n v="2935.53"/>
  </r>
  <r>
    <s v="ORD0885"/>
    <s v="2025-02-12"/>
    <x v="1"/>
    <n v="2025"/>
    <s v="Karen Ruiz"/>
    <x v="4"/>
    <x v="2"/>
    <x v="17"/>
    <n v="30089.3"/>
    <n v="10"/>
    <n v="5553.39"/>
  </r>
  <r>
    <s v="ORD0886"/>
    <s v="2025-12-13"/>
    <x v="11"/>
    <n v="2025"/>
    <s v="Kim Clark"/>
    <x v="3"/>
    <x v="3"/>
    <x v="18"/>
    <n v="38075.26"/>
    <n v="5"/>
    <n v="9032.9599999999991"/>
  </r>
  <r>
    <s v="ORD0887"/>
    <s v="2025-10-11"/>
    <x v="3"/>
    <n v="2025"/>
    <s v="Michael Henderson"/>
    <x v="1"/>
    <x v="1"/>
    <x v="8"/>
    <n v="26280.62"/>
    <n v="9"/>
    <n v="1085.0999999999999"/>
  </r>
  <r>
    <s v="ORD0888"/>
    <s v="2025-06-15"/>
    <x v="0"/>
    <n v="2025"/>
    <s v="Casey Diaz"/>
    <x v="3"/>
    <x v="2"/>
    <x v="19"/>
    <n v="42297.77"/>
    <n v="10"/>
    <n v="9001.7900000000009"/>
  </r>
  <r>
    <s v="ORD0889"/>
    <s v="2025-11-25"/>
    <x v="10"/>
    <n v="2025"/>
    <s v="Loretta Miller"/>
    <x v="5"/>
    <x v="1"/>
    <x v="4"/>
    <n v="23765.759999999998"/>
    <n v="10"/>
    <n v="4935.7700000000004"/>
  </r>
  <r>
    <s v="ORD0890"/>
    <s v="2025-06-16"/>
    <x v="0"/>
    <n v="2025"/>
    <s v="Duane Garcia"/>
    <x v="1"/>
    <x v="2"/>
    <x v="17"/>
    <n v="18994.82"/>
    <n v="10"/>
    <n v="2224.87"/>
  </r>
  <r>
    <s v="ORD0891"/>
    <s v="2025-04-06"/>
    <x v="9"/>
    <n v="2025"/>
    <s v="Timothy Jackson"/>
    <x v="4"/>
    <x v="3"/>
    <x v="18"/>
    <n v="20924.37"/>
    <n v="7"/>
    <n v="3603.3"/>
  </r>
  <r>
    <s v="ORD0892"/>
    <s v="2025-07-07"/>
    <x v="7"/>
    <n v="2025"/>
    <s v="Ashley Blankenship"/>
    <x v="0"/>
    <x v="1"/>
    <x v="1"/>
    <n v="33799.129999999997"/>
    <n v="10"/>
    <n v="-1103.8"/>
  </r>
  <r>
    <s v="ORD0893"/>
    <s v="2025-02-19"/>
    <x v="1"/>
    <n v="2025"/>
    <s v="Lisa Murray"/>
    <x v="6"/>
    <x v="3"/>
    <x v="18"/>
    <n v="17276.53"/>
    <n v="4"/>
    <n v="2818.08"/>
  </r>
  <r>
    <s v="ORD0894"/>
    <s v="2025-11-10"/>
    <x v="10"/>
    <n v="2025"/>
    <s v="Hannah Hansen"/>
    <x v="2"/>
    <x v="3"/>
    <x v="15"/>
    <n v="24723.16"/>
    <n v="2"/>
    <n v="-94.4"/>
  </r>
  <r>
    <s v="ORD0895"/>
    <s v="2025-07-19"/>
    <x v="7"/>
    <n v="2025"/>
    <s v="Christopher Thomas"/>
    <x v="0"/>
    <x v="3"/>
    <x v="6"/>
    <n v="43567.06"/>
    <n v="6"/>
    <n v="-1040"/>
  </r>
  <r>
    <s v="ORD0896"/>
    <s v="2025-11-04"/>
    <x v="10"/>
    <n v="2025"/>
    <s v="Cindy Fitzgerald"/>
    <x v="5"/>
    <x v="1"/>
    <x v="4"/>
    <n v="38576.1"/>
    <n v="10"/>
    <n v="3259.39"/>
  </r>
  <r>
    <s v="ORD0897"/>
    <s v="2025-03-22"/>
    <x v="2"/>
    <n v="2025"/>
    <s v="Mrs. Maria Simpson"/>
    <x v="3"/>
    <x v="1"/>
    <x v="1"/>
    <n v="33303.47"/>
    <n v="1"/>
    <n v="174.09"/>
  </r>
  <r>
    <s v="ORD0898"/>
    <s v="2025-04-23"/>
    <x v="9"/>
    <n v="2025"/>
    <s v="Samantha Nguyen"/>
    <x v="3"/>
    <x v="3"/>
    <x v="13"/>
    <n v="10794.92"/>
    <n v="6"/>
    <n v="-266.22000000000003"/>
  </r>
  <r>
    <s v="ORD0899"/>
    <s v="2025-06-04"/>
    <x v="0"/>
    <n v="2025"/>
    <s v="James Freeman"/>
    <x v="1"/>
    <x v="2"/>
    <x v="19"/>
    <n v="37154.89"/>
    <n v="2"/>
    <n v="10038.06"/>
  </r>
  <r>
    <s v="ORD0900"/>
    <s v="2025-03-25"/>
    <x v="2"/>
    <n v="2025"/>
    <s v="David Gonzalez"/>
    <x v="1"/>
    <x v="1"/>
    <x v="12"/>
    <n v="1479.06"/>
    <n v="2"/>
    <n v="276.19"/>
  </r>
  <r>
    <s v="ORD0901"/>
    <s v="2025-01-10"/>
    <x v="8"/>
    <n v="2025"/>
    <s v="Jorge Osborne"/>
    <x v="0"/>
    <x v="0"/>
    <x v="3"/>
    <n v="42245.77"/>
    <n v="7"/>
    <n v="10331.35"/>
  </r>
  <r>
    <s v="ORD0902"/>
    <s v="2025-03-26"/>
    <x v="2"/>
    <n v="2025"/>
    <s v="Kevin Sharp"/>
    <x v="4"/>
    <x v="1"/>
    <x v="1"/>
    <n v="46039.69"/>
    <n v="2"/>
    <n v="8840.5499999999993"/>
  </r>
  <r>
    <s v="ORD0903"/>
    <s v="2025-10-02"/>
    <x v="3"/>
    <n v="2025"/>
    <s v="Todd Smith"/>
    <x v="2"/>
    <x v="2"/>
    <x v="17"/>
    <n v="26865.11"/>
    <n v="10"/>
    <n v="1220.5899999999999"/>
  </r>
  <r>
    <s v="ORD0904"/>
    <s v="2025-04-19"/>
    <x v="9"/>
    <n v="2025"/>
    <s v="Marcus Clay"/>
    <x v="1"/>
    <x v="0"/>
    <x v="10"/>
    <n v="33822.92"/>
    <n v="5"/>
    <n v="7224.61"/>
  </r>
  <r>
    <s v="ORD0905"/>
    <s v="2025-02-16"/>
    <x v="1"/>
    <n v="2025"/>
    <s v="Brent Lester"/>
    <x v="0"/>
    <x v="3"/>
    <x v="13"/>
    <n v="13796.69"/>
    <n v="3"/>
    <n v="3367.47"/>
  </r>
  <r>
    <s v="ORD0906"/>
    <s v="2025-09-21"/>
    <x v="5"/>
    <n v="2025"/>
    <s v="Rebecca Wilson"/>
    <x v="5"/>
    <x v="0"/>
    <x v="0"/>
    <n v="17468.36"/>
    <n v="2"/>
    <n v="1876.08"/>
  </r>
  <r>
    <s v="ORD0907"/>
    <s v="2025-09-14"/>
    <x v="5"/>
    <n v="2025"/>
    <s v="Eric Barton"/>
    <x v="2"/>
    <x v="3"/>
    <x v="15"/>
    <n v="41506.43"/>
    <n v="9"/>
    <n v="2005.74"/>
  </r>
  <r>
    <s v="ORD0908"/>
    <s v="2025-06-29"/>
    <x v="0"/>
    <n v="2025"/>
    <s v="Sandra Mills"/>
    <x v="4"/>
    <x v="0"/>
    <x v="9"/>
    <n v="16050.05"/>
    <n v="9"/>
    <n v="685.29"/>
  </r>
  <r>
    <s v="ORD0909"/>
    <s v="2025-12-15"/>
    <x v="11"/>
    <n v="2025"/>
    <s v="Robert Wilson"/>
    <x v="6"/>
    <x v="3"/>
    <x v="18"/>
    <n v="38359.18"/>
    <n v="1"/>
    <n v="-1899.36"/>
  </r>
  <r>
    <s v="ORD0910"/>
    <s v="2025-06-05"/>
    <x v="0"/>
    <n v="2025"/>
    <s v="Mr. Jonathan Johnson"/>
    <x v="5"/>
    <x v="1"/>
    <x v="12"/>
    <n v="1193.8499999999999"/>
    <n v="7"/>
    <n v="116.49"/>
  </r>
  <r>
    <s v="ORD0911"/>
    <s v="2025-08-28"/>
    <x v="6"/>
    <n v="2025"/>
    <s v="Amy Castillo"/>
    <x v="4"/>
    <x v="0"/>
    <x v="10"/>
    <n v="3381.83"/>
    <n v="4"/>
    <n v="14.42"/>
  </r>
  <r>
    <s v="ORD0912"/>
    <s v="2025-11-06"/>
    <x v="10"/>
    <n v="2025"/>
    <s v="Sean Burke"/>
    <x v="1"/>
    <x v="0"/>
    <x v="10"/>
    <n v="15349.95"/>
    <n v="1"/>
    <n v="157.96"/>
  </r>
  <r>
    <s v="ORD0913"/>
    <s v="2025-06-01"/>
    <x v="0"/>
    <n v="2025"/>
    <s v="Robert Madden"/>
    <x v="6"/>
    <x v="0"/>
    <x v="10"/>
    <n v="39430.559999999998"/>
    <n v="1"/>
    <n v="10735.48"/>
  </r>
  <r>
    <s v="ORD0914"/>
    <s v="2025-12-27"/>
    <x v="11"/>
    <n v="2025"/>
    <s v="Mary Bernard"/>
    <x v="3"/>
    <x v="0"/>
    <x v="3"/>
    <n v="18575.63"/>
    <n v="4"/>
    <n v="2047.72"/>
  </r>
  <r>
    <s v="ORD0915"/>
    <s v="2025-01-12"/>
    <x v="8"/>
    <n v="2025"/>
    <s v="David Frye"/>
    <x v="0"/>
    <x v="0"/>
    <x v="10"/>
    <n v="43093.5"/>
    <n v="7"/>
    <n v="6666.12"/>
  </r>
  <r>
    <s v="ORD0916"/>
    <s v="2025-10-03"/>
    <x v="3"/>
    <n v="2025"/>
    <s v="Curtis Nolan"/>
    <x v="2"/>
    <x v="2"/>
    <x v="19"/>
    <n v="3852.42"/>
    <n v="8"/>
    <n v="88.6"/>
  </r>
  <r>
    <s v="ORD0917"/>
    <s v="2025-10-17"/>
    <x v="3"/>
    <n v="2025"/>
    <s v="Melissa Mckay"/>
    <x v="6"/>
    <x v="0"/>
    <x v="0"/>
    <n v="34403.08"/>
    <n v="2"/>
    <n v="8481.4599999999991"/>
  </r>
  <r>
    <s v="ORD0918"/>
    <s v="2025-04-01"/>
    <x v="9"/>
    <n v="2025"/>
    <s v="Lorraine Gutierrez"/>
    <x v="1"/>
    <x v="3"/>
    <x v="13"/>
    <n v="44243.68"/>
    <n v="7"/>
    <n v="3457.55"/>
  </r>
  <r>
    <s v="ORD0919"/>
    <s v="2025-09-24"/>
    <x v="5"/>
    <n v="2025"/>
    <s v="Kyle Thompson"/>
    <x v="3"/>
    <x v="0"/>
    <x v="10"/>
    <n v="1602.58"/>
    <n v="3"/>
    <n v="415.12"/>
  </r>
  <r>
    <s v="ORD0920"/>
    <s v="2025-02-01"/>
    <x v="1"/>
    <n v="2025"/>
    <s v="Jeffrey Hayes"/>
    <x v="6"/>
    <x v="0"/>
    <x v="14"/>
    <n v="2450.8200000000002"/>
    <n v="5"/>
    <n v="104.2"/>
  </r>
  <r>
    <s v="ORD0921"/>
    <s v="2025-01-18"/>
    <x v="8"/>
    <n v="2025"/>
    <s v="Mr. Christopher Wilson"/>
    <x v="6"/>
    <x v="1"/>
    <x v="1"/>
    <n v="15395.66"/>
    <n v="1"/>
    <n v="3228.23"/>
  </r>
  <r>
    <s v="ORD0922"/>
    <s v="2025-10-21"/>
    <x v="3"/>
    <n v="2025"/>
    <s v="Bryan Graves"/>
    <x v="1"/>
    <x v="3"/>
    <x v="6"/>
    <n v="18897.150000000001"/>
    <n v="1"/>
    <n v="1428.56"/>
  </r>
  <r>
    <s v="ORD0923"/>
    <s v="2025-12-18"/>
    <x v="11"/>
    <n v="2025"/>
    <s v="Jim Gregory"/>
    <x v="3"/>
    <x v="1"/>
    <x v="4"/>
    <n v="36697.160000000003"/>
    <n v="10"/>
    <n v="578.12"/>
  </r>
  <r>
    <s v="ORD0924"/>
    <s v="2025-12-21"/>
    <x v="11"/>
    <n v="2025"/>
    <s v="Traci Dougherty"/>
    <x v="4"/>
    <x v="0"/>
    <x v="14"/>
    <n v="42343.7"/>
    <n v="6"/>
    <n v="2739.96"/>
  </r>
  <r>
    <s v="ORD0925"/>
    <s v="2025-11-01"/>
    <x v="10"/>
    <n v="2025"/>
    <s v="Lauren Wolf"/>
    <x v="2"/>
    <x v="3"/>
    <x v="18"/>
    <n v="28769.360000000001"/>
    <n v="6"/>
    <n v="5151.41"/>
  </r>
  <r>
    <s v="ORD0926"/>
    <s v="2025-05-09"/>
    <x v="4"/>
    <n v="2025"/>
    <s v="Heather Nichols"/>
    <x v="6"/>
    <x v="1"/>
    <x v="8"/>
    <n v="40539.980000000003"/>
    <n v="4"/>
    <n v="9664.4599999999991"/>
  </r>
  <r>
    <s v="ORD0927"/>
    <s v="2025-05-02"/>
    <x v="4"/>
    <n v="2025"/>
    <s v="Joshua Stanley"/>
    <x v="3"/>
    <x v="1"/>
    <x v="4"/>
    <n v="34318.81"/>
    <n v="3"/>
    <n v="8930.6200000000008"/>
  </r>
  <r>
    <s v="ORD0928"/>
    <s v="2025-08-13"/>
    <x v="6"/>
    <n v="2025"/>
    <s v="Kendra Williams"/>
    <x v="4"/>
    <x v="2"/>
    <x v="16"/>
    <n v="24527.13"/>
    <n v="7"/>
    <n v="4606.33"/>
  </r>
  <r>
    <s v="ORD0929"/>
    <s v="2025-04-26"/>
    <x v="9"/>
    <n v="2025"/>
    <s v="Mackenzie Contreras"/>
    <x v="3"/>
    <x v="1"/>
    <x v="12"/>
    <n v="10301.73"/>
    <n v="1"/>
    <n v="-173.17"/>
  </r>
  <r>
    <s v="ORD0930"/>
    <s v="2025-07-13"/>
    <x v="7"/>
    <n v="2025"/>
    <s v="Mark Gregory"/>
    <x v="4"/>
    <x v="3"/>
    <x v="15"/>
    <n v="8615.25"/>
    <n v="5"/>
    <n v="204.02"/>
  </r>
  <r>
    <s v="ORD0931"/>
    <s v="2025-11-16"/>
    <x v="10"/>
    <n v="2025"/>
    <s v="Amanda Medina"/>
    <x v="2"/>
    <x v="2"/>
    <x v="17"/>
    <n v="17034.57"/>
    <n v="10"/>
    <n v="2055.88"/>
  </r>
  <r>
    <s v="ORD0932"/>
    <s v="2025-04-18"/>
    <x v="9"/>
    <n v="2025"/>
    <s v="Joshua Hood"/>
    <x v="2"/>
    <x v="1"/>
    <x v="1"/>
    <n v="17764.27"/>
    <n v="4"/>
    <n v="4861.63"/>
  </r>
  <r>
    <s v="ORD0933"/>
    <s v="2025-03-09"/>
    <x v="2"/>
    <n v="2025"/>
    <s v="David Harris Jr."/>
    <x v="1"/>
    <x v="0"/>
    <x v="0"/>
    <n v="21580.73"/>
    <n v="5"/>
    <n v="2787.11"/>
  </r>
  <r>
    <s v="ORD0934"/>
    <s v="2025-10-01"/>
    <x v="3"/>
    <n v="2025"/>
    <s v="Alan Spencer"/>
    <x v="5"/>
    <x v="2"/>
    <x v="5"/>
    <n v="18270.240000000002"/>
    <n v="3"/>
    <n v="915.1"/>
  </r>
  <r>
    <s v="ORD0935"/>
    <s v="2025-07-14"/>
    <x v="7"/>
    <n v="2025"/>
    <s v="Patrick Knight"/>
    <x v="0"/>
    <x v="1"/>
    <x v="12"/>
    <n v="12113.56"/>
    <n v="4"/>
    <n v="-64.38"/>
  </r>
  <r>
    <s v="ORD0936"/>
    <s v="2025-04-04"/>
    <x v="9"/>
    <n v="2025"/>
    <s v="Dawn Cunningham"/>
    <x v="3"/>
    <x v="1"/>
    <x v="1"/>
    <n v="36245.040000000001"/>
    <n v="6"/>
    <n v="4250.87"/>
  </r>
  <r>
    <s v="ORD0937"/>
    <s v="2025-11-02"/>
    <x v="10"/>
    <n v="2025"/>
    <s v="James Turner"/>
    <x v="0"/>
    <x v="3"/>
    <x v="15"/>
    <n v="11683.43"/>
    <n v="2"/>
    <n v="901.39"/>
  </r>
  <r>
    <s v="ORD0938"/>
    <s v="2025-10-21"/>
    <x v="3"/>
    <n v="2025"/>
    <s v="Denise Bond"/>
    <x v="5"/>
    <x v="0"/>
    <x v="14"/>
    <n v="8078.14"/>
    <n v="9"/>
    <n v="798.09"/>
  </r>
  <r>
    <s v="ORD0939"/>
    <s v="2025-11-10"/>
    <x v="10"/>
    <n v="2025"/>
    <s v="Lindsay Castillo"/>
    <x v="2"/>
    <x v="1"/>
    <x v="7"/>
    <n v="45026.54"/>
    <n v="10"/>
    <n v="1428.68"/>
  </r>
  <r>
    <s v="ORD0940"/>
    <s v="2025-04-14"/>
    <x v="9"/>
    <n v="2025"/>
    <s v="Scott Buchanan"/>
    <x v="6"/>
    <x v="0"/>
    <x v="0"/>
    <n v="42887.54"/>
    <n v="4"/>
    <n v="11377.54"/>
  </r>
  <r>
    <s v="ORD0941"/>
    <s v="2025-12-09"/>
    <x v="11"/>
    <n v="2025"/>
    <s v="Michelle Johnson"/>
    <x v="1"/>
    <x v="2"/>
    <x v="2"/>
    <n v="13393.09"/>
    <n v="4"/>
    <n v="1281.4000000000001"/>
  </r>
  <r>
    <s v="ORD0942"/>
    <s v="2025-11-24"/>
    <x v="10"/>
    <n v="2025"/>
    <s v="Brooke Hernandez"/>
    <x v="4"/>
    <x v="0"/>
    <x v="0"/>
    <n v="39890.86"/>
    <n v="1"/>
    <n v="10290.35"/>
  </r>
  <r>
    <s v="ORD0943"/>
    <s v="2025-09-20"/>
    <x v="5"/>
    <n v="2025"/>
    <s v="Jeffrey Jackson"/>
    <x v="5"/>
    <x v="1"/>
    <x v="7"/>
    <n v="29789.07"/>
    <n v="7"/>
    <n v="5247.25"/>
  </r>
  <r>
    <s v="ORD0944"/>
    <s v="2025-08-31"/>
    <x v="6"/>
    <n v="2025"/>
    <s v="Michael Landry"/>
    <x v="1"/>
    <x v="2"/>
    <x v="16"/>
    <n v="15953.45"/>
    <n v="5"/>
    <n v="3503.58"/>
  </r>
  <r>
    <s v="ORD0945"/>
    <s v="2025-04-06"/>
    <x v="9"/>
    <n v="2025"/>
    <s v="Mrs. Amanda Casey MD"/>
    <x v="6"/>
    <x v="3"/>
    <x v="18"/>
    <n v="839.98"/>
    <n v="2"/>
    <n v="58.27"/>
  </r>
  <r>
    <s v="ORD0946"/>
    <s v="2025-02-28"/>
    <x v="1"/>
    <n v="2025"/>
    <s v="Jasmine Lambert"/>
    <x v="6"/>
    <x v="2"/>
    <x v="19"/>
    <n v="23178.63"/>
    <n v="5"/>
    <n v="3283.43"/>
  </r>
  <r>
    <s v="ORD0947"/>
    <s v="2025-06-14"/>
    <x v="0"/>
    <n v="2025"/>
    <s v="Kayla Lee"/>
    <x v="0"/>
    <x v="2"/>
    <x v="17"/>
    <n v="43299.82"/>
    <n v="7"/>
    <n v="3543.33"/>
  </r>
  <r>
    <s v="ORD0948"/>
    <s v="2025-04-09"/>
    <x v="9"/>
    <n v="2025"/>
    <s v="Dylan Ford"/>
    <x v="2"/>
    <x v="2"/>
    <x v="17"/>
    <n v="12155.55"/>
    <n v="9"/>
    <n v="792"/>
  </r>
  <r>
    <s v="ORD0949"/>
    <s v="2025-12-12"/>
    <x v="11"/>
    <n v="2025"/>
    <s v="Yolanda Williams"/>
    <x v="4"/>
    <x v="0"/>
    <x v="9"/>
    <n v="19630.55"/>
    <n v="10"/>
    <n v="255.5"/>
  </r>
  <r>
    <s v="ORD0950"/>
    <s v="2025-03-30"/>
    <x v="2"/>
    <n v="2025"/>
    <s v="Jack Young"/>
    <x v="5"/>
    <x v="2"/>
    <x v="5"/>
    <n v="22402.04"/>
    <n v="4"/>
    <n v="-138.01"/>
  </r>
  <r>
    <s v="ORD0951"/>
    <s v="2025-07-05"/>
    <x v="7"/>
    <n v="2025"/>
    <s v="Roberto Church"/>
    <x v="1"/>
    <x v="3"/>
    <x v="11"/>
    <n v="8871.43"/>
    <n v="5"/>
    <n v="2495.9499999999998"/>
  </r>
  <r>
    <s v="ORD0952"/>
    <s v="2025-08-31"/>
    <x v="6"/>
    <n v="2025"/>
    <s v="Kristine Nguyen"/>
    <x v="1"/>
    <x v="0"/>
    <x v="10"/>
    <n v="37119.31"/>
    <n v="8"/>
    <n v="8391.42"/>
  </r>
  <r>
    <s v="ORD0953"/>
    <s v="2025-12-03"/>
    <x v="11"/>
    <n v="2025"/>
    <s v="Jennifer Key"/>
    <x v="4"/>
    <x v="3"/>
    <x v="13"/>
    <n v="25760.32"/>
    <n v="2"/>
    <n v="414.83"/>
  </r>
  <r>
    <s v="ORD0954"/>
    <s v="2025-11-17"/>
    <x v="10"/>
    <n v="2025"/>
    <s v="Elizabeth Barnett"/>
    <x v="3"/>
    <x v="3"/>
    <x v="15"/>
    <n v="6361.06"/>
    <n v="4"/>
    <n v="714.26"/>
  </r>
  <r>
    <s v="ORD0955"/>
    <s v="2025-09-12"/>
    <x v="5"/>
    <n v="2025"/>
    <s v="Jason Williams"/>
    <x v="6"/>
    <x v="1"/>
    <x v="4"/>
    <n v="28850.53"/>
    <n v="4"/>
    <n v="-698.23"/>
  </r>
  <r>
    <s v="ORD0956"/>
    <s v="2025-12-06"/>
    <x v="11"/>
    <n v="2025"/>
    <s v="Paul Cunningham"/>
    <x v="4"/>
    <x v="1"/>
    <x v="7"/>
    <n v="20772.02"/>
    <n v="9"/>
    <n v="5704.43"/>
  </r>
  <r>
    <s v="ORD0957"/>
    <s v="2025-07-02"/>
    <x v="7"/>
    <n v="2025"/>
    <s v="James Pham"/>
    <x v="6"/>
    <x v="2"/>
    <x v="2"/>
    <n v="15812.55"/>
    <n v="5"/>
    <n v="2684.15"/>
  </r>
  <r>
    <s v="ORD0958"/>
    <s v="2025-07-08"/>
    <x v="7"/>
    <n v="2025"/>
    <s v="Allison Chapman"/>
    <x v="4"/>
    <x v="2"/>
    <x v="2"/>
    <n v="13270.37"/>
    <n v="10"/>
    <n v="3389.91"/>
  </r>
  <r>
    <s v="ORD0959"/>
    <s v="2025-07-25"/>
    <x v="7"/>
    <n v="2025"/>
    <s v="Jennifer Woodard"/>
    <x v="6"/>
    <x v="0"/>
    <x v="14"/>
    <n v="47629.96"/>
    <n v="2"/>
    <n v="11132.29"/>
  </r>
  <r>
    <s v="ORD0960"/>
    <s v="2025-06-19"/>
    <x v="0"/>
    <n v="2025"/>
    <s v="Richard Oconnor"/>
    <x v="2"/>
    <x v="2"/>
    <x v="2"/>
    <n v="19008.18"/>
    <n v="3"/>
    <n v="2191.33"/>
  </r>
  <r>
    <s v="ORD0961"/>
    <s v="2025-03-24"/>
    <x v="2"/>
    <n v="2025"/>
    <s v="Angelica Warner"/>
    <x v="4"/>
    <x v="1"/>
    <x v="12"/>
    <n v="22119.11"/>
    <n v="3"/>
    <n v="5941.91"/>
  </r>
  <r>
    <s v="ORD0962"/>
    <s v="2025-04-29"/>
    <x v="9"/>
    <n v="2025"/>
    <s v="Mary Kline"/>
    <x v="1"/>
    <x v="3"/>
    <x v="13"/>
    <n v="46756.99"/>
    <n v="8"/>
    <n v="13871.11"/>
  </r>
  <r>
    <s v="ORD0963"/>
    <s v="2025-08-16"/>
    <x v="6"/>
    <n v="2025"/>
    <s v="Courtney Delgado"/>
    <x v="6"/>
    <x v="1"/>
    <x v="8"/>
    <n v="7323.6"/>
    <n v="9"/>
    <n v="671.08"/>
  </r>
  <r>
    <s v="ORD0964"/>
    <s v="2025-01-19"/>
    <x v="8"/>
    <n v="2025"/>
    <s v="Nicholas Shepherd"/>
    <x v="4"/>
    <x v="2"/>
    <x v="17"/>
    <n v="18346.740000000002"/>
    <n v="5"/>
    <n v="1772.2"/>
  </r>
  <r>
    <s v="ORD0965"/>
    <s v="2025-11-17"/>
    <x v="10"/>
    <n v="2025"/>
    <s v="Nicholas Ayala"/>
    <x v="2"/>
    <x v="1"/>
    <x v="7"/>
    <n v="33316.11"/>
    <n v="9"/>
    <n v="5283.16"/>
  </r>
  <r>
    <s v="ORD0966"/>
    <s v="2025-02-13"/>
    <x v="1"/>
    <n v="2025"/>
    <s v="James Marshall"/>
    <x v="0"/>
    <x v="3"/>
    <x v="13"/>
    <n v="31212.63"/>
    <n v="4"/>
    <n v="7703.92"/>
  </r>
  <r>
    <s v="ORD0967"/>
    <s v="2025-01-17"/>
    <x v="8"/>
    <n v="2025"/>
    <s v="Victoria Henderson"/>
    <x v="2"/>
    <x v="0"/>
    <x v="0"/>
    <n v="17926.32"/>
    <n v="1"/>
    <n v="3118.89"/>
  </r>
  <r>
    <s v="ORD0968"/>
    <s v="2025-07-08"/>
    <x v="7"/>
    <n v="2025"/>
    <s v="Gary Norman"/>
    <x v="5"/>
    <x v="0"/>
    <x v="9"/>
    <n v="38516.47"/>
    <n v="2"/>
    <n v="4330.54"/>
  </r>
  <r>
    <s v="ORD0969"/>
    <s v="2025-06-10"/>
    <x v="0"/>
    <n v="2025"/>
    <s v="Lauren Young"/>
    <x v="2"/>
    <x v="3"/>
    <x v="15"/>
    <n v="22506.66"/>
    <n v="10"/>
    <n v="-298.79000000000002"/>
  </r>
  <r>
    <s v="ORD0970"/>
    <s v="2025-03-04"/>
    <x v="2"/>
    <n v="2025"/>
    <s v="Christopher Cooper"/>
    <x v="0"/>
    <x v="1"/>
    <x v="7"/>
    <n v="37905.589999999997"/>
    <n v="7"/>
    <n v="9222.2999999999993"/>
  </r>
  <r>
    <s v="ORD0971"/>
    <s v="2025-04-06"/>
    <x v="9"/>
    <n v="2025"/>
    <s v="Samantha Mays"/>
    <x v="0"/>
    <x v="2"/>
    <x v="2"/>
    <n v="37037.75"/>
    <n v="5"/>
    <n v="9660.17"/>
  </r>
  <r>
    <s v="ORD0972"/>
    <s v="2025-03-15"/>
    <x v="2"/>
    <n v="2025"/>
    <s v="James Barr"/>
    <x v="3"/>
    <x v="1"/>
    <x v="12"/>
    <n v="30141.34"/>
    <n v="10"/>
    <n v="8299.48"/>
  </r>
  <r>
    <s v="ORD0973"/>
    <s v="2025-07-04"/>
    <x v="7"/>
    <n v="2025"/>
    <s v="Leonard Murphy"/>
    <x v="2"/>
    <x v="1"/>
    <x v="1"/>
    <n v="4536.3599999999997"/>
    <n v="8"/>
    <n v="2.79"/>
  </r>
  <r>
    <s v="ORD0974"/>
    <s v="2025-03-30"/>
    <x v="2"/>
    <n v="2025"/>
    <s v="Taylor Jones"/>
    <x v="3"/>
    <x v="1"/>
    <x v="12"/>
    <n v="5942.87"/>
    <n v="3"/>
    <n v="1225.6600000000001"/>
  </r>
  <r>
    <s v="ORD0975"/>
    <s v="2025-02-08"/>
    <x v="1"/>
    <n v="2025"/>
    <s v="Katrina Terry MD"/>
    <x v="6"/>
    <x v="3"/>
    <x v="6"/>
    <n v="3121.05"/>
    <n v="5"/>
    <n v="392.64"/>
  </r>
  <r>
    <s v="ORD0976"/>
    <s v="2025-02-11"/>
    <x v="1"/>
    <n v="2025"/>
    <s v="Amy Morris"/>
    <x v="4"/>
    <x v="2"/>
    <x v="19"/>
    <n v="33312.199999999997"/>
    <n v="4"/>
    <n v="3084"/>
  </r>
  <r>
    <s v="ORD0977"/>
    <s v="2025-05-26"/>
    <x v="4"/>
    <n v="2025"/>
    <s v="Kelsey Morgan"/>
    <x v="5"/>
    <x v="2"/>
    <x v="5"/>
    <n v="35732.9"/>
    <n v="6"/>
    <n v="-1396.34"/>
  </r>
  <r>
    <s v="ORD0978"/>
    <s v="2025-02-12"/>
    <x v="1"/>
    <n v="2025"/>
    <s v="Susan Garza"/>
    <x v="1"/>
    <x v="3"/>
    <x v="11"/>
    <n v="6408.29"/>
    <n v="10"/>
    <n v="157.71"/>
  </r>
  <r>
    <s v="ORD0979"/>
    <s v="2025-01-04"/>
    <x v="8"/>
    <n v="2025"/>
    <s v="Laura Allen"/>
    <x v="5"/>
    <x v="0"/>
    <x v="10"/>
    <n v="19143.990000000002"/>
    <n v="2"/>
    <n v="1917.22"/>
  </r>
  <r>
    <s v="ORD0980"/>
    <s v="2025-06-19"/>
    <x v="0"/>
    <n v="2025"/>
    <s v="Jacob White"/>
    <x v="2"/>
    <x v="3"/>
    <x v="18"/>
    <n v="32528.28"/>
    <n v="3"/>
    <n v="4972.53"/>
  </r>
  <r>
    <s v="ORD0981"/>
    <s v="2025-07-21"/>
    <x v="7"/>
    <n v="2025"/>
    <s v="Rebecca Clarke"/>
    <x v="5"/>
    <x v="3"/>
    <x v="11"/>
    <n v="16556.39"/>
    <n v="8"/>
    <n v="4282.66"/>
  </r>
  <r>
    <s v="ORD0982"/>
    <s v="2025-11-16"/>
    <x v="10"/>
    <n v="2025"/>
    <s v="Ashley Coleman"/>
    <x v="4"/>
    <x v="2"/>
    <x v="5"/>
    <n v="37601.800000000003"/>
    <n v="7"/>
    <n v="9438.41"/>
  </r>
  <r>
    <s v="ORD0983"/>
    <s v="2025-05-22"/>
    <x v="4"/>
    <n v="2025"/>
    <s v="Erika Brandt"/>
    <x v="4"/>
    <x v="1"/>
    <x v="12"/>
    <n v="1580.01"/>
    <n v="8"/>
    <n v="171.82"/>
  </r>
  <r>
    <s v="ORD0984"/>
    <s v="2025-08-05"/>
    <x v="6"/>
    <n v="2025"/>
    <s v="Kristopher Rodriguez"/>
    <x v="0"/>
    <x v="1"/>
    <x v="4"/>
    <n v="48832.81"/>
    <n v="4"/>
    <n v="646.9"/>
  </r>
  <r>
    <s v="ORD0985"/>
    <s v="2025-03-29"/>
    <x v="2"/>
    <n v="2025"/>
    <s v="Chloe Williams"/>
    <x v="3"/>
    <x v="3"/>
    <x v="6"/>
    <n v="21456.639999999999"/>
    <n v="3"/>
    <n v="6240.75"/>
  </r>
  <r>
    <s v="ORD0986"/>
    <s v="2025-01-07"/>
    <x v="8"/>
    <n v="2025"/>
    <s v="Maria Nguyen"/>
    <x v="1"/>
    <x v="0"/>
    <x v="0"/>
    <n v="39424.910000000003"/>
    <n v="6"/>
    <n v="5016.62"/>
  </r>
  <r>
    <s v="ORD0987"/>
    <s v="2025-07-18"/>
    <x v="7"/>
    <n v="2025"/>
    <s v="Gregory Nelson"/>
    <x v="5"/>
    <x v="1"/>
    <x v="1"/>
    <n v="25208.11"/>
    <n v="4"/>
    <n v="-576.21"/>
  </r>
  <r>
    <s v="ORD0988"/>
    <s v="2025-02-02"/>
    <x v="1"/>
    <n v="2025"/>
    <s v="Brandon King"/>
    <x v="6"/>
    <x v="2"/>
    <x v="17"/>
    <n v="46444.73"/>
    <n v="5"/>
    <n v="-586.62"/>
  </r>
  <r>
    <s v="ORD0989"/>
    <s v="2025-06-08"/>
    <x v="0"/>
    <n v="2025"/>
    <s v="Mr. Brett Thomas MD"/>
    <x v="1"/>
    <x v="0"/>
    <x v="3"/>
    <n v="10500.84"/>
    <n v="2"/>
    <n v="390.38"/>
  </r>
  <r>
    <s v="ORD0990"/>
    <s v="2025-12-14"/>
    <x v="11"/>
    <n v="2025"/>
    <s v="Tammy Mcknight"/>
    <x v="1"/>
    <x v="0"/>
    <x v="10"/>
    <n v="6345.42"/>
    <n v="2"/>
    <n v="425.63"/>
  </r>
  <r>
    <s v="ORD0991"/>
    <s v="2025-07-11"/>
    <x v="7"/>
    <n v="2025"/>
    <s v="Regina Mercado"/>
    <x v="6"/>
    <x v="1"/>
    <x v="8"/>
    <n v="8417.82"/>
    <n v="6"/>
    <n v="835.49"/>
  </r>
  <r>
    <s v="ORD0992"/>
    <s v="2025-12-10"/>
    <x v="11"/>
    <n v="2025"/>
    <s v="Robert Dixon"/>
    <x v="2"/>
    <x v="3"/>
    <x v="13"/>
    <n v="7099.37"/>
    <n v="2"/>
    <n v="181.27"/>
  </r>
  <r>
    <s v="ORD0993"/>
    <s v="2025-10-18"/>
    <x v="3"/>
    <n v="2025"/>
    <s v="Amber Pierce"/>
    <x v="6"/>
    <x v="3"/>
    <x v="15"/>
    <n v="36671.269999999997"/>
    <n v="7"/>
    <n v="4147.8100000000004"/>
  </r>
  <r>
    <s v="ORD0994"/>
    <s v="2025-02-05"/>
    <x v="1"/>
    <n v="2025"/>
    <s v="Jason Greene"/>
    <x v="0"/>
    <x v="1"/>
    <x v="7"/>
    <n v="48205.1"/>
    <n v="2"/>
    <n v="11034.14"/>
  </r>
  <r>
    <s v="ORD0995"/>
    <s v="2025-09-21"/>
    <x v="5"/>
    <n v="2025"/>
    <s v="Carolyn Lynch"/>
    <x v="1"/>
    <x v="0"/>
    <x v="0"/>
    <n v="48406.99"/>
    <n v="2"/>
    <n v="5859.49"/>
  </r>
  <r>
    <s v="ORD0996"/>
    <s v="2025-03-30"/>
    <x v="2"/>
    <n v="2025"/>
    <s v="Olivia Ward"/>
    <x v="1"/>
    <x v="1"/>
    <x v="4"/>
    <n v="41346.660000000003"/>
    <n v="6"/>
    <n v="-1873.73"/>
  </r>
  <r>
    <s v="ORD0997"/>
    <s v="2025-10-12"/>
    <x v="3"/>
    <n v="2025"/>
    <s v="Eric Martinez"/>
    <x v="0"/>
    <x v="1"/>
    <x v="12"/>
    <n v="31691.49"/>
    <n v="6"/>
    <n v="3830.9"/>
  </r>
  <r>
    <s v="ORD0998"/>
    <s v="2025-11-09"/>
    <x v="10"/>
    <n v="2025"/>
    <s v="Deborah Schwartz"/>
    <x v="0"/>
    <x v="3"/>
    <x v="11"/>
    <n v="19401.939999999999"/>
    <n v="1"/>
    <n v="1417.35"/>
  </r>
  <r>
    <s v="ORD0999"/>
    <s v="2025-07-18"/>
    <x v="7"/>
    <n v="2025"/>
    <s v="Michael Kim"/>
    <x v="5"/>
    <x v="0"/>
    <x v="9"/>
    <n v="14926.69"/>
    <n v="7"/>
    <n v="4228.13"/>
  </r>
  <r>
    <s v="ORD1000"/>
    <s v="2025-06-28"/>
    <x v="0"/>
    <n v="2025"/>
    <s v="Kristen Jones"/>
    <x v="5"/>
    <x v="3"/>
    <x v="11"/>
    <n v="12230.48"/>
    <n v="5"/>
    <n v="336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B11" firstHeaderRow="1" firstDataRow="1" firstDataCol="1"/>
  <pivotFields count="11">
    <pivotField showAll="0"/>
    <pivotField showAll="0"/>
    <pivotField showAll="0"/>
    <pivotField showAll="0"/>
    <pivotField showAll="0"/>
    <pivotField axis="axisRow" showAll="0">
      <items count="8">
        <item x="5"/>
        <item x="6"/>
        <item x="2"/>
        <item x="0"/>
        <item x="3"/>
        <item x="1"/>
        <item x="4"/>
        <item t="default"/>
      </items>
    </pivotField>
    <pivotField showAll="0">
      <items count="5">
        <item h="1" x="1"/>
        <item h="1" x="2"/>
        <item x="0"/>
        <item h="1" x="3"/>
        <item t="default"/>
      </items>
    </pivotField>
    <pivotField showAll="0">
      <items count="21">
        <item h="1" x="10"/>
        <item h="1" x="14"/>
        <item h="1" x="0"/>
        <item h="1" x="2"/>
        <item h="1" x="12"/>
        <item h="1" x="8"/>
        <item h="1" x="7"/>
        <item h="1" x="17"/>
        <item h="1" x="16"/>
        <item h="1" x="11"/>
        <item h="1" x="19"/>
        <item h="1" x="15"/>
        <item x="18"/>
        <item h="1" x="13"/>
        <item h="1" x="1"/>
        <item h="1" x="5"/>
        <item h="1" x="9"/>
        <item h="1" x="6"/>
        <item h="1" x="3"/>
        <item h="1" x="4"/>
        <item t="default"/>
      </items>
    </pivotField>
    <pivotField dataField="1" showAll="0"/>
    <pivotField showAll="0"/>
    <pivotField showAll="0"/>
  </pivotFields>
  <rowFields count="1">
    <field x="5"/>
  </rowFields>
  <rowItems count="8">
    <i>
      <x/>
    </i>
    <i>
      <x v="1"/>
    </i>
    <i>
      <x v="2"/>
    </i>
    <i>
      <x v="3"/>
    </i>
    <i>
      <x v="4"/>
    </i>
    <i>
      <x v="5"/>
    </i>
    <i>
      <x v="6"/>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B16" firstHeaderRow="1" firstDataRow="1" firstDataCol="1"/>
  <pivotFields count="11">
    <pivotField showAll="0"/>
    <pivotField showAll="0"/>
    <pivotField axis="axisRow" showAll="0">
      <items count="13">
        <item x="8"/>
        <item x="1"/>
        <item x="2"/>
        <item x="9"/>
        <item x="4"/>
        <item x="0"/>
        <item x="7"/>
        <item x="6"/>
        <item x="5"/>
        <item x="3"/>
        <item x="10"/>
        <item x="11"/>
        <item t="default"/>
      </items>
    </pivotField>
    <pivotField showAll="0"/>
    <pivotField showAll="0"/>
    <pivotField showAll="0">
      <items count="8">
        <item x="5"/>
        <item x="6"/>
        <item x="2"/>
        <item x="0"/>
        <item x="3"/>
        <item x="1"/>
        <item x="4"/>
        <item t="default"/>
      </items>
    </pivotField>
    <pivotField showAll="0">
      <items count="5">
        <item h="1" x="1"/>
        <item h="1" x="2"/>
        <item x="0"/>
        <item h="1" x="3"/>
        <item t="default"/>
      </items>
    </pivotField>
    <pivotField showAll="0">
      <items count="21">
        <item h="1" x="10"/>
        <item h="1" x="14"/>
        <item h="1" x="0"/>
        <item h="1" x="2"/>
        <item h="1" x="12"/>
        <item h="1" x="8"/>
        <item h="1" x="7"/>
        <item h="1" x="17"/>
        <item h="1" x="16"/>
        <item h="1" x="11"/>
        <item h="1" x="19"/>
        <item h="1" x="15"/>
        <item x="18"/>
        <item h="1" x="13"/>
        <item h="1" x="1"/>
        <item h="1" x="5"/>
        <item h="1" x="9"/>
        <item h="1" x="6"/>
        <item h="1" x="3"/>
        <item h="1" x="4"/>
        <item t="default"/>
      </items>
    </pivotField>
    <pivotField dataField="1"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8"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5" firstHeaderRow="1" firstDataRow="1" firstDataCol="1"/>
  <pivotFields count="11">
    <pivotField showAll="0"/>
    <pivotField showAll="0"/>
    <pivotField showAll="0"/>
    <pivotField showAll="0"/>
    <pivotField showAll="0"/>
    <pivotField showAll="0">
      <items count="8">
        <item x="5"/>
        <item x="6"/>
        <item x="2"/>
        <item x="0"/>
        <item x="3"/>
        <item x="1"/>
        <item x="4"/>
        <item t="default"/>
      </items>
    </pivotField>
    <pivotField axis="axisRow" showAll="0">
      <items count="5">
        <item h="1" x="1"/>
        <item h="1" x="2"/>
        <item x="0"/>
        <item h="1" x="3"/>
        <item t="default"/>
      </items>
    </pivotField>
    <pivotField showAll="0"/>
    <pivotField dataField="1" showAll="0"/>
    <pivotField showAll="0"/>
    <pivotField showAll="0"/>
  </pivotFields>
  <rowFields count="1">
    <field x="6"/>
  </rowFields>
  <rowItems count="2">
    <i>
      <x v="2"/>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9" name="PivotTable1"/>
    <pivotTable tabId="3" name="PivotTable2"/>
    <pivotTable tabId="6" name="PivotTable3"/>
  </pivotTables>
  <data>
    <tabular pivotCacheId="1">
      <items count="4">
        <i x="1"/>
        <i x="2"/>
        <i x="0"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9" name="PivotTable1"/>
    <pivotTable tabId="3" name="PivotTable2"/>
    <pivotTable tabId="6" name="PivotTable3"/>
  </pivotTables>
  <data>
    <tabular pivotCacheId="1">
      <items count="7">
        <i x="5" s="1"/>
        <i x="6" s="1"/>
        <i x="2" s="1"/>
        <i x="0"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2" cache="Slicer_Category1" caption="Category" rowHeight="225425"/>
  <slicer name="City 1" cache="Slicer_City" caption="City"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1" caption="Category" rowHeight="225425"/>
  <slicer name="City" cache="Slicer_City" caption="City" rowHeight="225425"/>
</slicers>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A3:B11"/>
  <sheetViews>
    <sheetView workbookViewId="0"/>
  </sheetViews>
  <sheetFormatPr defaultRowHeight="15" x14ac:dyDescent="0.25"/>
  <cols>
    <col min="1" max="1" width="14" bestFit="1" customWidth="1"/>
    <col min="2" max="2" width="12.5703125" bestFit="1" customWidth="1"/>
  </cols>
  <sheetData>
    <row r="3" spans="1:2" x14ac:dyDescent="0.25">
      <c r="A3" s="6" t="s">
        <v>2372</v>
      </c>
      <c r="B3" t="s">
        <v>2374</v>
      </c>
    </row>
    <row r="4" spans="1:2" x14ac:dyDescent="0.25">
      <c r="A4" s="7" t="s">
        <v>42</v>
      </c>
      <c r="B4" s="8">
        <v>1112037.1499999999</v>
      </c>
    </row>
    <row r="5" spans="1:2" x14ac:dyDescent="0.25">
      <c r="A5" s="7" t="s">
        <v>97</v>
      </c>
      <c r="B5" s="8">
        <v>1149655.6300000001</v>
      </c>
    </row>
    <row r="6" spans="1:2" x14ac:dyDescent="0.25">
      <c r="A6" s="7" t="s">
        <v>24</v>
      </c>
      <c r="B6" s="8">
        <v>941311.71</v>
      </c>
    </row>
    <row r="7" spans="1:2" x14ac:dyDescent="0.25">
      <c r="A7" s="7" t="s">
        <v>12</v>
      </c>
      <c r="B7" s="8">
        <v>1117182.69</v>
      </c>
    </row>
    <row r="8" spans="1:2" x14ac:dyDescent="0.25">
      <c r="A8" s="7" t="s">
        <v>34</v>
      </c>
      <c r="B8" s="8">
        <v>707070.64999999991</v>
      </c>
    </row>
    <row r="9" spans="1:2" x14ac:dyDescent="0.25">
      <c r="A9" s="7" t="s">
        <v>18</v>
      </c>
      <c r="B9" s="8">
        <v>1088478.18</v>
      </c>
    </row>
    <row r="10" spans="1:2" x14ac:dyDescent="0.25">
      <c r="A10" s="7" t="s">
        <v>38</v>
      </c>
      <c r="B10" s="8">
        <v>940406.26</v>
      </c>
    </row>
    <row r="11" spans="1:2" x14ac:dyDescent="0.25">
      <c r="A11" s="7" t="s">
        <v>2373</v>
      </c>
      <c r="B11" s="8">
        <v>7056142.2699999996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F1:V8"/>
  <sheetViews>
    <sheetView showGridLines="0" showRowColHeaders="0" tabSelected="1" zoomScale="70" zoomScaleNormal="70" workbookViewId="0">
      <selection activeCell="H2" sqref="H2:P2"/>
    </sheetView>
  </sheetViews>
  <sheetFormatPr defaultRowHeight="15" x14ac:dyDescent="0.25"/>
  <cols>
    <col min="1" max="8" width="9.140625" style="11"/>
    <col min="9" max="9" width="14.140625" style="11" customWidth="1"/>
    <col min="10" max="10" width="20.5703125" style="11" customWidth="1"/>
    <col min="11" max="11" width="20.140625" style="11" customWidth="1"/>
    <col min="12" max="12" width="21" style="11" customWidth="1"/>
    <col min="13" max="13" width="22.5703125" style="11" customWidth="1"/>
    <col min="14" max="16384" width="9.140625" style="11"/>
  </cols>
  <sheetData>
    <row r="1" spans="6:22" ht="15.75" thickBot="1" x14ac:dyDescent="0.3"/>
    <row r="2" spans="6:22" ht="30.75" customHeight="1" thickBot="1" x14ac:dyDescent="0.3">
      <c r="H2" s="19" t="s">
        <v>2380</v>
      </c>
      <c r="I2" s="20"/>
      <c r="J2" s="20"/>
      <c r="K2" s="20"/>
      <c r="L2" s="20"/>
      <c r="M2" s="20"/>
      <c r="N2" s="20"/>
      <c r="O2" s="20"/>
      <c r="P2" s="21"/>
      <c r="U2" s="11" t="s">
        <v>2399</v>
      </c>
    </row>
    <row r="3" spans="6:22" ht="27" thickBot="1" x14ac:dyDescent="0.45">
      <c r="F3" s="12"/>
      <c r="R3" s="11" t="s">
        <v>2397</v>
      </c>
    </row>
    <row r="4" spans="6:22" ht="27" thickBot="1" x14ac:dyDescent="0.45">
      <c r="F4" s="12"/>
      <c r="J4" s="13" t="s">
        <v>2375</v>
      </c>
      <c r="K4" s="14" t="s">
        <v>2376</v>
      </c>
      <c r="L4" s="14" t="s">
        <v>2378</v>
      </c>
      <c r="M4" s="14" t="s">
        <v>2379</v>
      </c>
    </row>
    <row r="5" spans="6:22" ht="33.75" customHeight="1" thickBot="1" x14ac:dyDescent="0.3">
      <c r="J5" s="15">
        <f>MONTHLY_SALES!E3</f>
        <v>7056142.2700000005</v>
      </c>
      <c r="K5" s="16">
        <v>3141215</v>
      </c>
      <c r="L5" s="17">
        <v>1000</v>
      </c>
      <c r="M5" s="18">
        <v>5581</v>
      </c>
    </row>
    <row r="8" spans="6:22" x14ac:dyDescent="0.25">
      <c r="V8" s="11" t="s">
        <v>2398</v>
      </c>
    </row>
  </sheetData>
  <mergeCells count="1">
    <mergeCell ref="H2:P2"/>
  </mergeCells>
  <pageMargins left="0.7" right="0.7" top="0.75" bottom="0.75" header="0.3" footer="0.3"/>
  <pageSetup orientation="portrait" r:id="rId1"/>
  <headerFooter>
    <oddHeader xml:space="preserve">&amp;C&amp;"-,Bold Italic"&amp;16Retail Sales Dashboard
</oddHeader>
  </headerFooter>
  <drawing r:id="rId2"/>
  <extLst>
    <ext xmlns:x14="http://schemas.microsoft.com/office/spreadsheetml/2009/9/main" uri="{05C60535-1F16-4fd2-B633-F4F36F0B64E0}">
      <x14:sparklineGroups xmlns:xm="http://schemas.microsoft.com/office/excel/2006/main">
        <x14:sparklineGroup manualMax="0" manualMin="0" displayEmptyCellsAs="gap" markers="1">
          <x14:colorSeries rgb="FF376092"/>
          <x14:colorNegative rgb="FFD00000"/>
          <x14:colorAxis rgb="FF000000"/>
          <x14:colorMarkers rgb="FFFF0000"/>
          <x14:colorFirst rgb="FFD00000"/>
          <x14:colorLast rgb="FFD00000"/>
          <x14:colorHigh rgb="FFD00000"/>
          <x14:colorLow rgb="FFD00000"/>
          <x14:sparklines>
            <x14:sparkline>
              <xm:f>'DASHBOARD '!J4:J5</xm:f>
              <xm:sqref>C5</xm:sqref>
            </x14:sparkline>
          </x14:sparklines>
        </x14:sparklineGroup>
        <x14:sparklineGroup manualMax="0" manualMin="0" displayEmptyCellsAs="gap">
          <x14:colorSeries theme="1" tint="0.499984740745262"/>
          <x14:colorNegative theme="1" tint="0.249977111117893"/>
          <x14:colorAxis rgb="FF000000"/>
          <x14:colorMarkers theme="1" tint="0.249977111117893"/>
          <x14:colorFirst theme="1" tint="0.249977111117893"/>
          <x14:colorLast theme="1" tint="0.249977111117893"/>
          <x14:colorHigh theme="1" tint="0.249977111117893"/>
          <x14:colorLow theme="1" tint="0.249977111117893"/>
          <x14:sparklines>
            <x14:sparkline>
              <xm:f>'DASHBOARD '!K4:K4</xm:f>
              <xm:sqref>J4</xm:sqref>
            </x14:sparkline>
          </x14:sparklines>
        </x14:sparklineGroup>
      </x14:sparklineGroups>
    </ex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3:E16"/>
  <sheetViews>
    <sheetView workbookViewId="0"/>
  </sheetViews>
  <sheetFormatPr defaultRowHeight="15" x14ac:dyDescent="0.25"/>
  <cols>
    <col min="1" max="1" width="14" bestFit="1" customWidth="1"/>
    <col min="2" max="2" width="12.5703125" bestFit="1" customWidth="1"/>
  </cols>
  <sheetData>
    <row r="3" spans="1:5" x14ac:dyDescent="0.25">
      <c r="A3" s="6" t="s">
        <v>2372</v>
      </c>
      <c r="B3" t="s">
        <v>2374</v>
      </c>
      <c r="E3">
        <f>B16</f>
        <v>7056142.2700000005</v>
      </c>
    </row>
    <row r="4" spans="1:5" x14ac:dyDescent="0.25">
      <c r="A4" s="7" t="s">
        <v>2381</v>
      </c>
      <c r="B4" s="8">
        <v>597987</v>
      </c>
    </row>
    <row r="5" spans="1:5" x14ac:dyDescent="0.25">
      <c r="A5" s="7" t="s">
        <v>2382</v>
      </c>
      <c r="B5" s="8">
        <v>687531.26000000013</v>
      </c>
    </row>
    <row r="6" spans="1:5" x14ac:dyDescent="0.25">
      <c r="A6" s="7" t="s">
        <v>2383</v>
      </c>
      <c r="B6" s="8">
        <v>627197.15</v>
      </c>
    </row>
    <row r="7" spans="1:5" x14ac:dyDescent="0.25">
      <c r="A7" s="7" t="s">
        <v>2384</v>
      </c>
      <c r="B7" s="8">
        <v>603624.99999999988</v>
      </c>
    </row>
    <row r="8" spans="1:5" x14ac:dyDescent="0.25">
      <c r="A8" s="7" t="s">
        <v>2385</v>
      </c>
      <c r="B8" s="8">
        <v>457890.61</v>
      </c>
    </row>
    <row r="9" spans="1:5" x14ac:dyDescent="0.25">
      <c r="A9" s="7" t="s">
        <v>2386</v>
      </c>
      <c r="B9" s="8">
        <v>667167.92000000004</v>
      </c>
    </row>
    <row r="10" spans="1:5" x14ac:dyDescent="0.25">
      <c r="A10" s="7" t="s">
        <v>2387</v>
      </c>
      <c r="B10" s="8">
        <v>515862.56999999995</v>
      </c>
    </row>
    <row r="11" spans="1:5" x14ac:dyDescent="0.25">
      <c r="A11" s="7" t="s">
        <v>2388</v>
      </c>
      <c r="B11" s="8">
        <v>399341.87</v>
      </c>
    </row>
    <row r="12" spans="1:5" x14ac:dyDescent="0.25">
      <c r="A12" s="7" t="s">
        <v>2389</v>
      </c>
      <c r="B12" s="8">
        <v>706249</v>
      </c>
    </row>
    <row r="13" spans="1:5" x14ac:dyDescent="0.25">
      <c r="A13" s="7" t="s">
        <v>2390</v>
      </c>
      <c r="B13" s="8">
        <v>482422.42999999993</v>
      </c>
    </row>
    <row r="14" spans="1:5" x14ac:dyDescent="0.25">
      <c r="A14" s="7" t="s">
        <v>2391</v>
      </c>
      <c r="B14" s="8">
        <v>564393.93999999994</v>
      </c>
    </row>
    <row r="15" spans="1:5" x14ac:dyDescent="0.25">
      <c r="A15" s="7" t="s">
        <v>2392</v>
      </c>
      <c r="B15" s="8">
        <v>746473.52000000014</v>
      </c>
    </row>
    <row r="16" spans="1:5" x14ac:dyDescent="0.25">
      <c r="A16" s="7" t="s">
        <v>2373</v>
      </c>
      <c r="B16" s="8">
        <v>7056142.2700000005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B5"/>
  <sheetViews>
    <sheetView workbookViewId="0"/>
  </sheetViews>
  <sheetFormatPr defaultRowHeight="15" x14ac:dyDescent="0.25"/>
  <cols>
    <col min="1" max="1" width="14" bestFit="1" customWidth="1"/>
    <col min="2" max="2" width="12.5703125" bestFit="1" customWidth="1"/>
  </cols>
  <sheetData>
    <row r="1" spans="1:2" x14ac:dyDescent="0.25">
      <c r="A1">
        <f>GETPIVOTDATA("Sales",$A$3)</f>
        <v>7056142.2700000014</v>
      </c>
    </row>
    <row r="2" spans="1:2" x14ac:dyDescent="0.25">
      <c r="A2">
        <f>GETPIVOTDATA("Sales",$A$3)</f>
        <v>7056142.2700000014</v>
      </c>
    </row>
    <row r="3" spans="1:2" x14ac:dyDescent="0.25">
      <c r="A3" s="6" t="s">
        <v>2372</v>
      </c>
      <c r="B3" t="s">
        <v>2374</v>
      </c>
    </row>
    <row r="4" spans="1:2" x14ac:dyDescent="0.25">
      <c r="A4" s="7" t="s">
        <v>13</v>
      </c>
      <c r="B4" s="8">
        <v>7056142.2700000014</v>
      </c>
    </row>
    <row r="5" spans="1:2" x14ac:dyDescent="0.25">
      <c r="A5" s="7" t="s">
        <v>2373</v>
      </c>
      <c r="B5" s="8">
        <v>7056142.2700000014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1005"/>
  <sheetViews>
    <sheetView zoomScale="145" zoomScaleNormal="145" workbookViewId="0"/>
  </sheetViews>
  <sheetFormatPr defaultRowHeight="15" x14ac:dyDescent="0.25"/>
  <cols>
    <col min="1" max="1" width="13.5703125" customWidth="1"/>
    <col min="2" max="2" width="15.85546875" style="5" customWidth="1"/>
    <col min="3" max="4" width="11.85546875" customWidth="1"/>
    <col min="5" max="5" width="22.7109375" customWidth="1"/>
    <col min="6" max="6" width="10.5703125" customWidth="1"/>
    <col min="7" max="7" width="14.5703125" customWidth="1"/>
    <col min="8" max="8" width="12.7109375" customWidth="1"/>
    <col min="9" max="9" width="10.140625" customWidth="1"/>
    <col min="10" max="10" width="13.28515625" customWidth="1"/>
    <col min="11" max="12" width="10.5703125" customWidth="1"/>
  </cols>
  <sheetData>
    <row r="1" spans="1:13" x14ac:dyDescent="0.25">
      <c r="A1" s="1" t="s">
        <v>0</v>
      </c>
      <c r="B1" s="3" t="s">
        <v>1</v>
      </c>
      <c r="C1" s="1" t="s">
        <v>2370</v>
      </c>
      <c r="D1" s="1" t="s">
        <v>2371</v>
      </c>
      <c r="E1" s="1" t="s">
        <v>2</v>
      </c>
      <c r="F1" s="1" t="s">
        <v>3</v>
      </c>
      <c r="G1" s="1" t="s">
        <v>4</v>
      </c>
      <c r="H1" s="1" t="s">
        <v>5</v>
      </c>
      <c r="I1" s="1" t="s">
        <v>6</v>
      </c>
      <c r="J1" s="1" t="s">
        <v>7</v>
      </c>
      <c r="K1" s="1" t="s">
        <v>8</v>
      </c>
      <c r="L1" s="10"/>
      <c r="M1" t="s">
        <v>2401</v>
      </c>
    </row>
    <row r="2" spans="1:13" x14ac:dyDescent="0.25">
      <c r="A2" s="2" t="s">
        <v>9</v>
      </c>
      <c r="B2" s="4" t="s">
        <v>10</v>
      </c>
      <c r="C2" s="2" t="str">
        <f>TEXT(B2, "mmm")</f>
        <v>Jun</v>
      </c>
      <c r="D2" s="2">
        <f>YEAR(B2)</f>
        <v>2025</v>
      </c>
      <c r="E2" s="2" t="s">
        <v>11</v>
      </c>
      <c r="F2" s="2" t="s">
        <v>12</v>
      </c>
      <c r="G2" s="2" t="s">
        <v>13</v>
      </c>
      <c r="H2" s="2" t="s">
        <v>14</v>
      </c>
      <c r="I2" s="2">
        <v>37923.08</v>
      </c>
      <c r="J2" s="2">
        <v>6</v>
      </c>
      <c r="K2" s="2">
        <v>-106.1</v>
      </c>
      <c r="L2" s="2"/>
      <c r="M2" s="9" t="s">
        <v>2400</v>
      </c>
    </row>
    <row r="3" spans="1:13" x14ac:dyDescent="0.25">
      <c r="A3" s="2" t="s">
        <v>15</v>
      </c>
      <c r="B3" s="4" t="s">
        <v>16</v>
      </c>
      <c r="C3" s="2" t="str">
        <f t="shared" ref="C3:C66" si="0">TEXT(B3, "mmm")</f>
        <v>Feb</v>
      </c>
      <c r="D3" s="2">
        <f t="shared" ref="D3:D66" si="1">YEAR(B3)</f>
        <v>2025</v>
      </c>
      <c r="E3" s="2" t="s">
        <v>17</v>
      </c>
      <c r="F3" s="2" t="s">
        <v>18</v>
      </c>
      <c r="G3" s="2" t="s">
        <v>19</v>
      </c>
      <c r="H3" s="2" t="s">
        <v>20</v>
      </c>
      <c r="I3" s="2">
        <v>47187.35</v>
      </c>
      <c r="J3" s="2">
        <v>4</v>
      </c>
      <c r="K3" s="2">
        <v>1543.97</v>
      </c>
      <c r="L3" s="2"/>
      <c r="M3" t="s">
        <v>2402</v>
      </c>
    </row>
    <row r="4" spans="1:13" x14ac:dyDescent="0.25">
      <c r="A4" s="2" t="s">
        <v>21</v>
      </c>
      <c r="B4" s="4" t="s">
        <v>22</v>
      </c>
      <c r="C4" s="2" t="str">
        <f t="shared" si="0"/>
        <v>Mar</v>
      </c>
      <c r="D4" s="2">
        <f t="shared" si="1"/>
        <v>2025</v>
      </c>
      <c r="E4" s="2" t="s">
        <v>23</v>
      </c>
      <c r="F4" s="2" t="s">
        <v>24</v>
      </c>
      <c r="G4" s="2" t="s">
        <v>25</v>
      </c>
      <c r="H4" s="2" t="s">
        <v>26</v>
      </c>
      <c r="I4" s="2">
        <v>37367.26</v>
      </c>
      <c r="J4" s="2">
        <v>6</v>
      </c>
      <c r="K4" s="2">
        <v>9060.9</v>
      </c>
      <c r="L4" s="2"/>
      <c r="M4" t="s">
        <v>2403</v>
      </c>
    </row>
    <row r="5" spans="1:13" x14ac:dyDescent="0.25">
      <c r="A5" s="2" t="s">
        <v>27</v>
      </c>
      <c r="B5" s="4" t="s">
        <v>28</v>
      </c>
      <c r="C5" s="2" t="str">
        <f t="shared" si="0"/>
        <v>Oct</v>
      </c>
      <c r="D5" s="2">
        <f t="shared" si="1"/>
        <v>2025</v>
      </c>
      <c r="E5" s="2" t="s">
        <v>29</v>
      </c>
      <c r="F5" s="2" t="s">
        <v>12</v>
      </c>
      <c r="G5" s="2" t="s">
        <v>13</v>
      </c>
      <c r="H5" s="2" t="s">
        <v>30</v>
      </c>
      <c r="I5" s="2">
        <v>33352.21</v>
      </c>
      <c r="J5" s="2">
        <v>3</v>
      </c>
      <c r="K5" s="2">
        <v>959.5</v>
      </c>
      <c r="L5" s="2"/>
    </row>
    <row r="6" spans="1:13" x14ac:dyDescent="0.25">
      <c r="A6" s="2" t="s">
        <v>31</v>
      </c>
      <c r="B6" s="4" t="s">
        <v>32</v>
      </c>
      <c r="C6" s="2" t="str">
        <f t="shared" si="0"/>
        <v>May</v>
      </c>
      <c r="D6" s="2">
        <f t="shared" si="1"/>
        <v>2025</v>
      </c>
      <c r="E6" s="2" t="s">
        <v>33</v>
      </c>
      <c r="F6" s="2" t="s">
        <v>34</v>
      </c>
      <c r="G6" s="2" t="s">
        <v>25</v>
      </c>
      <c r="H6" s="2" t="s">
        <v>26</v>
      </c>
      <c r="I6" s="2">
        <v>4973.96</v>
      </c>
      <c r="J6" s="2">
        <v>3</v>
      </c>
      <c r="K6" s="2">
        <v>1316.02</v>
      </c>
      <c r="L6" s="2"/>
    </row>
    <row r="7" spans="1:13" x14ac:dyDescent="0.25">
      <c r="A7" s="2" t="s">
        <v>35</v>
      </c>
      <c r="B7" s="4" t="s">
        <v>36</v>
      </c>
      <c r="C7" s="2" t="str">
        <f t="shared" si="0"/>
        <v>Sep</v>
      </c>
      <c r="D7" s="2">
        <f t="shared" si="1"/>
        <v>2025</v>
      </c>
      <c r="E7" s="2" t="s">
        <v>37</v>
      </c>
      <c r="F7" s="2" t="s">
        <v>38</v>
      </c>
      <c r="G7" s="2" t="s">
        <v>13</v>
      </c>
      <c r="H7" s="2" t="s">
        <v>30</v>
      </c>
      <c r="I7" s="2">
        <v>49234.09</v>
      </c>
      <c r="J7" s="2">
        <v>6</v>
      </c>
      <c r="K7" s="2">
        <v>9706.75</v>
      </c>
      <c r="L7" s="2"/>
    </row>
    <row r="8" spans="1:13" x14ac:dyDescent="0.25">
      <c r="A8" s="2" t="s">
        <v>39</v>
      </c>
      <c r="B8" s="4" t="s">
        <v>40</v>
      </c>
      <c r="C8" s="2" t="str">
        <f t="shared" si="0"/>
        <v>Jun</v>
      </c>
      <c r="D8" s="2">
        <f t="shared" si="1"/>
        <v>2025</v>
      </c>
      <c r="E8" s="2" t="s">
        <v>41</v>
      </c>
      <c r="F8" s="2" t="s">
        <v>42</v>
      </c>
      <c r="G8" s="2" t="s">
        <v>19</v>
      </c>
      <c r="H8" s="2" t="s">
        <v>43</v>
      </c>
      <c r="I8" s="2">
        <v>23972.85</v>
      </c>
      <c r="J8" s="2">
        <v>3</v>
      </c>
      <c r="K8" s="2">
        <v>3186.25</v>
      </c>
      <c r="L8" s="2"/>
    </row>
    <row r="9" spans="1:13" x14ac:dyDescent="0.25">
      <c r="A9" s="2" t="s">
        <v>44</v>
      </c>
      <c r="B9" s="4" t="s">
        <v>45</v>
      </c>
      <c r="C9" s="2" t="str">
        <f t="shared" si="0"/>
        <v>Aug</v>
      </c>
      <c r="D9" s="2">
        <f t="shared" si="1"/>
        <v>2025</v>
      </c>
      <c r="E9" s="2" t="s">
        <v>46</v>
      </c>
      <c r="F9" s="2" t="s">
        <v>12</v>
      </c>
      <c r="G9" s="2" t="s">
        <v>25</v>
      </c>
      <c r="H9" s="2" t="s">
        <v>47</v>
      </c>
      <c r="I9" s="2">
        <v>30514.83</v>
      </c>
      <c r="J9" s="2">
        <v>9</v>
      </c>
      <c r="K9" s="2">
        <v>7001.91</v>
      </c>
      <c r="L9" s="2"/>
    </row>
    <row r="10" spans="1:13" x14ac:dyDescent="0.25">
      <c r="A10" s="2" t="s">
        <v>48</v>
      </c>
      <c r="B10" s="4" t="s">
        <v>49</v>
      </c>
      <c r="C10" s="2" t="str">
        <f t="shared" si="0"/>
        <v>Jul</v>
      </c>
      <c r="D10" s="2">
        <f t="shared" si="1"/>
        <v>2025</v>
      </c>
      <c r="E10" s="2" t="s">
        <v>50</v>
      </c>
      <c r="F10" s="2" t="s">
        <v>38</v>
      </c>
      <c r="G10" s="2" t="s">
        <v>13</v>
      </c>
      <c r="H10" s="2" t="s">
        <v>14</v>
      </c>
      <c r="I10" s="2">
        <v>5030.43</v>
      </c>
      <c r="J10" s="2">
        <v>7</v>
      </c>
      <c r="K10" s="2">
        <v>-227.58</v>
      </c>
      <c r="L10" s="2"/>
    </row>
    <row r="11" spans="1:13" x14ac:dyDescent="0.25">
      <c r="A11" s="2" t="s">
        <v>51</v>
      </c>
      <c r="B11" s="4" t="s">
        <v>52</v>
      </c>
      <c r="C11" s="2" t="str">
        <f t="shared" si="0"/>
        <v>Feb</v>
      </c>
      <c r="D11" s="2">
        <f t="shared" si="1"/>
        <v>2025</v>
      </c>
      <c r="E11" s="2" t="s">
        <v>53</v>
      </c>
      <c r="F11" s="2" t="s">
        <v>18</v>
      </c>
      <c r="G11" s="2" t="s">
        <v>54</v>
      </c>
      <c r="H11" s="2" t="s">
        <v>55</v>
      </c>
      <c r="I11" s="2">
        <v>34995.769999999997</v>
      </c>
      <c r="J11" s="2">
        <v>3</v>
      </c>
      <c r="K11" s="2">
        <v>828.99</v>
      </c>
      <c r="L11" s="2"/>
      <c r="M11" t="s">
        <v>2404</v>
      </c>
    </row>
    <row r="12" spans="1:13" x14ac:dyDescent="0.25">
      <c r="A12" s="2" t="s">
        <v>56</v>
      </c>
      <c r="B12" s="4" t="s">
        <v>57</v>
      </c>
      <c r="C12" s="2" t="str">
        <f t="shared" si="0"/>
        <v>Jan</v>
      </c>
      <c r="D12" s="2">
        <f t="shared" si="1"/>
        <v>2025</v>
      </c>
      <c r="E12" s="2" t="s">
        <v>58</v>
      </c>
      <c r="F12" s="2" t="s">
        <v>24</v>
      </c>
      <c r="G12" s="2" t="s">
        <v>19</v>
      </c>
      <c r="H12" s="2" t="s">
        <v>59</v>
      </c>
      <c r="I12" s="2">
        <v>29604.06</v>
      </c>
      <c r="J12" s="2">
        <v>6</v>
      </c>
      <c r="K12" s="2">
        <v>655.02</v>
      </c>
      <c r="L12" s="2"/>
    </row>
    <row r="13" spans="1:13" x14ac:dyDescent="0.25">
      <c r="A13" s="2" t="s">
        <v>60</v>
      </c>
      <c r="B13" s="4" t="s">
        <v>61</v>
      </c>
      <c r="C13" s="2" t="str">
        <f t="shared" si="0"/>
        <v>May</v>
      </c>
      <c r="D13" s="2">
        <f t="shared" si="1"/>
        <v>2025</v>
      </c>
      <c r="E13" s="2" t="s">
        <v>62</v>
      </c>
      <c r="F13" s="2" t="s">
        <v>18</v>
      </c>
      <c r="G13" s="2" t="s">
        <v>19</v>
      </c>
      <c r="H13" s="2" t="s">
        <v>63</v>
      </c>
      <c r="I13" s="2">
        <v>41878.43</v>
      </c>
      <c r="J13" s="2">
        <v>4</v>
      </c>
      <c r="K13" s="2">
        <v>12237.57</v>
      </c>
      <c r="L13" s="2"/>
    </row>
    <row r="14" spans="1:13" x14ac:dyDescent="0.25">
      <c r="A14" s="2" t="s">
        <v>64</v>
      </c>
      <c r="B14" s="4" t="s">
        <v>65</v>
      </c>
      <c r="C14" s="2" t="str">
        <f t="shared" si="0"/>
        <v>Oct</v>
      </c>
      <c r="D14" s="2">
        <f t="shared" si="1"/>
        <v>2025</v>
      </c>
      <c r="E14" s="2" t="s">
        <v>66</v>
      </c>
      <c r="F14" s="2" t="s">
        <v>18</v>
      </c>
      <c r="G14" s="2" t="s">
        <v>19</v>
      </c>
      <c r="H14" s="2" t="s">
        <v>59</v>
      </c>
      <c r="I14" s="2">
        <v>7670.73</v>
      </c>
      <c r="J14" s="2">
        <v>9</v>
      </c>
      <c r="K14" s="2">
        <v>1481.41</v>
      </c>
      <c r="L14" s="2"/>
    </row>
    <row r="15" spans="1:13" x14ac:dyDescent="0.25">
      <c r="A15" s="2" t="s">
        <v>67</v>
      </c>
      <c r="B15" s="4" t="s">
        <v>68</v>
      </c>
      <c r="C15" s="2" t="str">
        <f t="shared" si="0"/>
        <v>Feb</v>
      </c>
      <c r="D15" s="2">
        <f t="shared" si="1"/>
        <v>2025</v>
      </c>
      <c r="E15" s="2" t="s">
        <v>69</v>
      </c>
      <c r="F15" s="2" t="s">
        <v>12</v>
      </c>
      <c r="G15" s="2" t="s">
        <v>19</v>
      </c>
      <c r="H15" s="2" t="s">
        <v>43</v>
      </c>
      <c r="I15" s="2">
        <v>5491.1</v>
      </c>
      <c r="J15" s="2">
        <v>1</v>
      </c>
      <c r="K15" s="2">
        <v>23.18</v>
      </c>
      <c r="L15" s="2"/>
    </row>
    <row r="16" spans="1:13" x14ac:dyDescent="0.25">
      <c r="A16" s="2" t="s">
        <v>70</v>
      </c>
      <c r="B16" s="4" t="s">
        <v>71</v>
      </c>
      <c r="C16" s="2" t="str">
        <f t="shared" si="0"/>
        <v>Jan</v>
      </c>
      <c r="D16" s="2">
        <f t="shared" si="1"/>
        <v>2025</v>
      </c>
      <c r="E16" s="2" t="s">
        <v>72</v>
      </c>
      <c r="F16" s="2" t="s">
        <v>24</v>
      </c>
      <c r="G16" s="2" t="s">
        <v>13</v>
      </c>
      <c r="H16" s="2" t="s">
        <v>73</v>
      </c>
      <c r="I16" s="2">
        <v>3685.89</v>
      </c>
      <c r="J16" s="2">
        <v>7</v>
      </c>
      <c r="K16" s="2">
        <v>915.83</v>
      </c>
      <c r="L16" s="2"/>
    </row>
    <row r="17" spans="1:12" x14ac:dyDescent="0.25">
      <c r="A17" s="2" t="s">
        <v>74</v>
      </c>
      <c r="B17" s="4" t="s">
        <v>75</v>
      </c>
      <c r="C17" s="2" t="str">
        <f t="shared" si="0"/>
        <v>Sep</v>
      </c>
      <c r="D17" s="2">
        <f t="shared" si="1"/>
        <v>2025</v>
      </c>
      <c r="E17" s="2" t="s">
        <v>76</v>
      </c>
      <c r="F17" s="2" t="s">
        <v>24</v>
      </c>
      <c r="G17" s="2" t="s">
        <v>13</v>
      </c>
      <c r="H17" s="2" t="s">
        <v>77</v>
      </c>
      <c r="I17" s="2">
        <v>41732.43</v>
      </c>
      <c r="J17" s="2">
        <v>4</v>
      </c>
      <c r="K17" s="2">
        <v>-425.32</v>
      </c>
      <c r="L17" s="2"/>
    </row>
    <row r="18" spans="1:12" x14ac:dyDescent="0.25">
      <c r="A18" s="2" t="s">
        <v>78</v>
      </c>
      <c r="B18" s="4" t="s">
        <v>79</v>
      </c>
      <c r="C18" s="2" t="str">
        <f t="shared" si="0"/>
        <v>Apr</v>
      </c>
      <c r="D18" s="2">
        <f t="shared" si="1"/>
        <v>2025</v>
      </c>
      <c r="E18" s="2" t="s">
        <v>80</v>
      </c>
      <c r="F18" s="2" t="s">
        <v>18</v>
      </c>
      <c r="G18" s="2" t="s">
        <v>13</v>
      </c>
      <c r="H18" s="2" t="s">
        <v>30</v>
      </c>
      <c r="I18" s="2">
        <v>42458.9</v>
      </c>
      <c r="J18" s="2">
        <v>1</v>
      </c>
      <c r="K18" s="2">
        <v>10508.61</v>
      </c>
      <c r="L18" s="2"/>
    </row>
    <row r="19" spans="1:12" x14ac:dyDescent="0.25">
      <c r="A19" s="2" t="s">
        <v>81</v>
      </c>
      <c r="B19" s="4" t="s">
        <v>82</v>
      </c>
      <c r="C19" s="2" t="str">
        <f t="shared" si="0"/>
        <v>Jun</v>
      </c>
      <c r="D19" s="2">
        <f t="shared" si="1"/>
        <v>2025</v>
      </c>
      <c r="E19" s="2" t="s">
        <v>83</v>
      </c>
      <c r="F19" s="2" t="s">
        <v>18</v>
      </c>
      <c r="G19" s="2" t="s">
        <v>54</v>
      </c>
      <c r="H19" s="2" t="s">
        <v>84</v>
      </c>
      <c r="I19" s="2">
        <v>42223.89</v>
      </c>
      <c r="J19" s="2">
        <v>9</v>
      </c>
      <c r="K19" s="2">
        <v>6945</v>
      </c>
      <c r="L19" s="2"/>
    </row>
    <row r="20" spans="1:12" x14ac:dyDescent="0.25">
      <c r="A20" s="2" t="s">
        <v>85</v>
      </c>
      <c r="B20" s="4" t="s">
        <v>86</v>
      </c>
      <c r="C20" s="2" t="str">
        <f t="shared" si="0"/>
        <v>Feb</v>
      </c>
      <c r="D20" s="2">
        <f t="shared" si="1"/>
        <v>2025</v>
      </c>
      <c r="E20" s="2" t="s">
        <v>87</v>
      </c>
      <c r="F20" s="2" t="s">
        <v>12</v>
      </c>
      <c r="G20" s="2" t="s">
        <v>13</v>
      </c>
      <c r="H20" s="2" t="s">
        <v>77</v>
      </c>
      <c r="I20" s="2">
        <v>9346.34</v>
      </c>
      <c r="J20" s="2">
        <v>6</v>
      </c>
      <c r="K20" s="2">
        <v>904.3</v>
      </c>
      <c r="L20" s="2"/>
    </row>
    <row r="21" spans="1:12" x14ac:dyDescent="0.25">
      <c r="A21" s="2" t="s">
        <v>88</v>
      </c>
      <c r="B21" s="4" t="s">
        <v>89</v>
      </c>
      <c r="C21" s="2" t="str">
        <f t="shared" si="0"/>
        <v>Nov</v>
      </c>
      <c r="D21" s="2">
        <f t="shared" si="1"/>
        <v>2025</v>
      </c>
      <c r="E21" s="2" t="s">
        <v>90</v>
      </c>
      <c r="F21" s="2" t="s">
        <v>38</v>
      </c>
      <c r="G21" s="2" t="s">
        <v>19</v>
      </c>
      <c r="H21" s="2" t="s">
        <v>43</v>
      </c>
      <c r="I21" s="2">
        <v>26350.18</v>
      </c>
      <c r="J21" s="2">
        <v>2</v>
      </c>
      <c r="K21" s="2">
        <v>2770.84</v>
      </c>
      <c r="L21" s="2"/>
    </row>
    <row r="22" spans="1:12" x14ac:dyDescent="0.25">
      <c r="A22" s="2" t="s">
        <v>91</v>
      </c>
      <c r="B22" s="4" t="s">
        <v>92</v>
      </c>
      <c r="C22" s="2" t="str">
        <f t="shared" si="0"/>
        <v>Feb</v>
      </c>
      <c r="D22" s="2">
        <f t="shared" si="1"/>
        <v>2025</v>
      </c>
      <c r="E22" s="2" t="s">
        <v>93</v>
      </c>
      <c r="F22" s="2" t="s">
        <v>38</v>
      </c>
      <c r="G22" s="2" t="s">
        <v>13</v>
      </c>
      <c r="H22" s="2" t="s">
        <v>73</v>
      </c>
      <c r="I22" s="2">
        <v>35248.959999999999</v>
      </c>
      <c r="J22" s="2">
        <v>8</v>
      </c>
      <c r="K22" s="2">
        <v>4969.41</v>
      </c>
      <c r="L22" s="2"/>
    </row>
    <row r="23" spans="1:12" x14ac:dyDescent="0.25">
      <c r="A23" s="2" t="s">
        <v>94</v>
      </c>
      <c r="B23" s="4" t="s">
        <v>95</v>
      </c>
      <c r="C23" s="2" t="str">
        <f t="shared" si="0"/>
        <v>Nov</v>
      </c>
      <c r="D23" s="2">
        <f t="shared" si="1"/>
        <v>2025</v>
      </c>
      <c r="E23" s="2" t="s">
        <v>96</v>
      </c>
      <c r="F23" s="2" t="s">
        <v>97</v>
      </c>
      <c r="G23" s="2" t="s">
        <v>19</v>
      </c>
      <c r="H23" s="2" t="s">
        <v>63</v>
      </c>
      <c r="I23" s="2">
        <v>25906.28</v>
      </c>
      <c r="J23" s="2">
        <v>5</v>
      </c>
      <c r="K23" s="2">
        <v>5657.12</v>
      </c>
      <c r="L23" s="2"/>
    </row>
    <row r="24" spans="1:12" x14ac:dyDescent="0.25">
      <c r="A24" s="2" t="s">
        <v>98</v>
      </c>
      <c r="B24" s="4" t="s">
        <v>99</v>
      </c>
      <c r="C24" s="2" t="str">
        <f t="shared" si="0"/>
        <v>Jul</v>
      </c>
      <c r="D24" s="2">
        <f t="shared" si="1"/>
        <v>2025</v>
      </c>
      <c r="E24" s="2" t="s">
        <v>100</v>
      </c>
      <c r="F24" s="2" t="s">
        <v>12</v>
      </c>
      <c r="G24" s="2" t="s">
        <v>19</v>
      </c>
      <c r="H24" s="2" t="s">
        <v>101</v>
      </c>
      <c r="I24" s="2">
        <v>48555.42</v>
      </c>
      <c r="J24" s="2">
        <v>6</v>
      </c>
      <c r="K24" s="2">
        <v>12982.05</v>
      </c>
      <c r="L24" s="2"/>
    </row>
    <row r="25" spans="1:12" x14ac:dyDescent="0.25">
      <c r="A25" s="2" t="s">
        <v>102</v>
      </c>
      <c r="B25" s="4" t="s">
        <v>103</v>
      </c>
      <c r="C25" s="2" t="str">
        <f t="shared" si="0"/>
        <v>Aug</v>
      </c>
      <c r="D25" s="2">
        <f t="shared" si="1"/>
        <v>2025</v>
      </c>
      <c r="E25" s="2" t="s">
        <v>104</v>
      </c>
      <c r="F25" s="2" t="s">
        <v>97</v>
      </c>
      <c r="G25" s="2" t="s">
        <v>19</v>
      </c>
      <c r="H25" s="2" t="s">
        <v>63</v>
      </c>
      <c r="I25" s="2">
        <v>16433.45</v>
      </c>
      <c r="J25" s="2">
        <v>4</v>
      </c>
      <c r="K25" s="2">
        <v>2768.89</v>
      </c>
      <c r="L25" s="2"/>
    </row>
    <row r="26" spans="1:12" x14ac:dyDescent="0.25">
      <c r="A26" s="2" t="s">
        <v>105</v>
      </c>
      <c r="B26" s="4" t="s">
        <v>106</v>
      </c>
      <c r="C26" s="2" t="str">
        <f t="shared" si="0"/>
        <v>Jun</v>
      </c>
      <c r="D26" s="2">
        <f t="shared" si="1"/>
        <v>2025</v>
      </c>
      <c r="E26" s="2" t="s">
        <v>107</v>
      </c>
      <c r="F26" s="2" t="s">
        <v>24</v>
      </c>
      <c r="G26" s="2" t="s">
        <v>13</v>
      </c>
      <c r="H26" s="2" t="s">
        <v>30</v>
      </c>
      <c r="I26" s="2">
        <v>31344.59</v>
      </c>
      <c r="J26" s="2">
        <v>4</v>
      </c>
      <c r="K26" s="2">
        <v>8556.8799999999992</v>
      </c>
      <c r="L26" s="2"/>
    </row>
    <row r="27" spans="1:12" x14ac:dyDescent="0.25">
      <c r="A27" s="2" t="s">
        <v>108</v>
      </c>
      <c r="B27" s="4" t="s">
        <v>109</v>
      </c>
      <c r="C27" s="2" t="str">
        <f t="shared" si="0"/>
        <v>Aug</v>
      </c>
      <c r="D27" s="2">
        <f t="shared" si="1"/>
        <v>2025</v>
      </c>
      <c r="E27" s="2" t="s">
        <v>110</v>
      </c>
      <c r="F27" s="2" t="s">
        <v>34</v>
      </c>
      <c r="G27" s="2" t="s">
        <v>54</v>
      </c>
      <c r="H27" s="2" t="s">
        <v>111</v>
      </c>
      <c r="I27" s="2">
        <v>2814.06</v>
      </c>
      <c r="J27" s="2">
        <v>10</v>
      </c>
      <c r="K27" s="2">
        <v>438.69</v>
      </c>
      <c r="L27" s="2"/>
    </row>
    <row r="28" spans="1:12" x14ac:dyDescent="0.25">
      <c r="A28" s="2" t="s">
        <v>112</v>
      </c>
      <c r="B28" s="4" t="s">
        <v>113</v>
      </c>
      <c r="C28" s="2" t="str">
        <f t="shared" si="0"/>
        <v>Jan</v>
      </c>
      <c r="D28" s="2">
        <f t="shared" si="1"/>
        <v>2025</v>
      </c>
      <c r="E28" s="2" t="s">
        <v>114</v>
      </c>
      <c r="F28" s="2" t="s">
        <v>24</v>
      </c>
      <c r="G28" s="2" t="s">
        <v>19</v>
      </c>
      <c r="H28" s="2" t="s">
        <v>63</v>
      </c>
      <c r="I28" s="2">
        <v>41518.39</v>
      </c>
      <c r="J28" s="2">
        <v>3</v>
      </c>
      <c r="K28" s="2">
        <v>11324.81</v>
      </c>
      <c r="L28" s="2"/>
    </row>
    <row r="29" spans="1:12" x14ac:dyDescent="0.25">
      <c r="A29" s="2" t="s">
        <v>115</v>
      </c>
      <c r="B29" s="4" t="s">
        <v>116</v>
      </c>
      <c r="C29" s="2" t="str">
        <f t="shared" si="0"/>
        <v>Nov</v>
      </c>
      <c r="D29" s="2">
        <f t="shared" si="1"/>
        <v>2025</v>
      </c>
      <c r="E29" s="2" t="s">
        <v>117</v>
      </c>
      <c r="F29" s="2" t="s">
        <v>12</v>
      </c>
      <c r="G29" s="2" t="s">
        <v>19</v>
      </c>
      <c r="H29" s="2" t="s">
        <v>59</v>
      </c>
      <c r="I29" s="2">
        <v>24974.48</v>
      </c>
      <c r="J29" s="2">
        <v>10</v>
      </c>
      <c r="K29" s="2">
        <v>2967.64</v>
      </c>
      <c r="L29" s="2"/>
    </row>
    <row r="30" spans="1:12" x14ac:dyDescent="0.25">
      <c r="A30" s="2" t="s">
        <v>118</v>
      </c>
      <c r="B30" s="4" t="s">
        <v>119</v>
      </c>
      <c r="C30" s="2" t="str">
        <f t="shared" si="0"/>
        <v>Aug</v>
      </c>
      <c r="D30" s="2">
        <f t="shared" si="1"/>
        <v>2025</v>
      </c>
      <c r="E30" s="2" t="s">
        <v>120</v>
      </c>
      <c r="F30" s="2" t="s">
        <v>18</v>
      </c>
      <c r="G30" s="2" t="s">
        <v>13</v>
      </c>
      <c r="H30" s="2" t="s">
        <v>121</v>
      </c>
      <c r="I30" s="2">
        <v>11429.12</v>
      </c>
      <c r="J30" s="2">
        <v>10</v>
      </c>
      <c r="K30" s="2">
        <v>756.11</v>
      </c>
      <c r="L30" s="2"/>
    </row>
    <row r="31" spans="1:12" x14ac:dyDescent="0.25">
      <c r="A31" s="2" t="s">
        <v>122</v>
      </c>
      <c r="B31" s="4" t="s">
        <v>123</v>
      </c>
      <c r="C31" s="2" t="str">
        <f t="shared" si="0"/>
        <v>Jan</v>
      </c>
      <c r="D31" s="2">
        <f t="shared" si="1"/>
        <v>2025</v>
      </c>
      <c r="E31" s="2" t="s">
        <v>124</v>
      </c>
      <c r="F31" s="2" t="s">
        <v>42</v>
      </c>
      <c r="G31" s="2" t="s">
        <v>54</v>
      </c>
      <c r="H31" s="2" t="s">
        <v>111</v>
      </c>
      <c r="I31" s="2">
        <v>32538.17</v>
      </c>
      <c r="J31" s="2">
        <v>9</v>
      </c>
      <c r="K31" s="2">
        <v>3797.97</v>
      </c>
      <c r="L31" s="2"/>
    </row>
    <row r="32" spans="1:12" x14ac:dyDescent="0.25">
      <c r="A32" s="2" t="s">
        <v>125</v>
      </c>
      <c r="B32" s="4" t="s">
        <v>126</v>
      </c>
      <c r="C32" s="2" t="str">
        <f t="shared" si="0"/>
        <v>Sep</v>
      </c>
      <c r="D32" s="2">
        <f t="shared" si="1"/>
        <v>2025</v>
      </c>
      <c r="E32" s="2" t="s">
        <v>127</v>
      </c>
      <c r="F32" s="2" t="s">
        <v>18</v>
      </c>
      <c r="G32" s="2" t="s">
        <v>54</v>
      </c>
      <c r="H32" s="2" t="s">
        <v>55</v>
      </c>
      <c r="I32" s="2">
        <v>19882.87</v>
      </c>
      <c r="J32" s="2">
        <v>6</v>
      </c>
      <c r="K32" s="2">
        <v>5610.91</v>
      </c>
      <c r="L32" s="2"/>
    </row>
    <row r="33" spans="1:12" x14ac:dyDescent="0.25">
      <c r="A33" s="2" t="s">
        <v>128</v>
      </c>
      <c r="B33" s="4" t="s">
        <v>129</v>
      </c>
      <c r="C33" s="2" t="str">
        <f t="shared" si="0"/>
        <v>Dec</v>
      </c>
      <c r="D33" s="2">
        <f t="shared" si="1"/>
        <v>2025</v>
      </c>
      <c r="E33" s="2" t="s">
        <v>130</v>
      </c>
      <c r="F33" s="2" t="s">
        <v>42</v>
      </c>
      <c r="G33" s="2" t="s">
        <v>13</v>
      </c>
      <c r="H33" s="2" t="s">
        <v>73</v>
      </c>
      <c r="I33" s="2">
        <v>14758.4</v>
      </c>
      <c r="J33" s="2">
        <v>3</v>
      </c>
      <c r="K33" s="2">
        <v>473.24</v>
      </c>
      <c r="L33" s="2"/>
    </row>
    <row r="34" spans="1:12" x14ac:dyDescent="0.25">
      <c r="A34" s="2" t="s">
        <v>131</v>
      </c>
      <c r="B34" s="4" t="s">
        <v>132</v>
      </c>
      <c r="C34" s="2" t="str">
        <f t="shared" si="0"/>
        <v>Nov</v>
      </c>
      <c r="D34" s="2">
        <f t="shared" si="1"/>
        <v>2025</v>
      </c>
      <c r="E34" s="2" t="s">
        <v>133</v>
      </c>
      <c r="F34" s="2" t="s">
        <v>12</v>
      </c>
      <c r="G34" s="2" t="s">
        <v>13</v>
      </c>
      <c r="H34" s="2" t="s">
        <v>73</v>
      </c>
      <c r="I34" s="2">
        <v>27211.53</v>
      </c>
      <c r="J34" s="2">
        <v>3</v>
      </c>
      <c r="K34" s="2">
        <v>4500.3999999999996</v>
      </c>
      <c r="L34" s="2"/>
    </row>
    <row r="35" spans="1:12" x14ac:dyDescent="0.25">
      <c r="A35" s="2" t="s">
        <v>134</v>
      </c>
      <c r="B35" s="4" t="s">
        <v>16</v>
      </c>
      <c r="C35" s="2" t="str">
        <f t="shared" si="0"/>
        <v>Feb</v>
      </c>
      <c r="D35" s="2">
        <f t="shared" si="1"/>
        <v>2025</v>
      </c>
      <c r="E35" s="2" t="s">
        <v>135</v>
      </c>
      <c r="F35" s="2" t="s">
        <v>12</v>
      </c>
      <c r="G35" s="2" t="s">
        <v>13</v>
      </c>
      <c r="H35" s="2" t="s">
        <v>77</v>
      </c>
      <c r="I35" s="2">
        <v>48693.9</v>
      </c>
      <c r="J35" s="2">
        <v>6</v>
      </c>
      <c r="K35" s="2">
        <v>-2058.46</v>
      </c>
      <c r="L35" s="2"/>
    </row>
    <row r="36" spans="1:12" x14ac:dyDescent="0.25">
      <c r="A36" s="2" t="s">
        <v>136</v>
      </c>
      <c r="B36" s="4" t="s">
        <v>36</v>
      </c>
      <c r="C36" s="2" t="str">
        <f t="shared" si="0"/>
        <v>Sep</v>
      </c>
      <c r="D36" s="2">
        <f t="shared" si="1"/>
        <v>2025</v>
      </c>
      <c r="E36" s="2" t="s">
        <v>137</v>
      </c>
      <c r="F36" s="2" t="s">
        <v>38</v>
      </c>
      <c r="G36" s="2" t="s">
        <v>54</v>
      </c>
      <c r="H36" s="2" t="s">
        <v>138</v>
      </c>
      <c r="I36" s="2">
        <v>9720.66</v>
      </c>
      <c r="J36" s="2">
        <v>9</v>
      </c>
      <c r="K36" s="2">
        <v>1211.32</v>
      </c>
      <c r="L36" s="2"/>
    </row>
    <row r="37" spans="1:12" x14ac:dyDescent="0.25">
      <c r="A37" s="2" t="s">
        <v>139</v>
      </c>
      <c r="B37" s="4" t="s">
        <v>140</v>
      </c>
      <c r="C37" s="2" t="str">
        <f t="shared" si="0"/>
        <v>Jan</v>
      </c>
      <c r="D37" s="2">
        <f t="shared" si="1"/>
        <v>2025</v>
      </c>
      <c r="E37" s="2" t="s">
        <v>141</v>
      </c>
      <c r="F37" s="2" t="s">
        <v>18</v>
      </c>
      <c r="G37" s="2" t="s">
        <v>54</v>
      </c>
      <c r="H37" s="2" t="s">
        <v>138</v>
      </c>
      <c r="I37" s="2">
        <v>20612.28</v>
      </c>
      <c r="J37" s="2">
        <v>10</v>
      </c>
      <c r="K37" s="2">
        <v>295.70999999999998</v>
      </c>
      <c r="L37" s="2"/>
    </row>
    <row r="38" spans="1:12" x14ac:dyDescent="0.25">
      <c r="A38" s="2" t="s">
        <v>142</v>
      </c>
      <c r="B38" s="4" t="s">
        <v>143</v>
      </c>
      <c r="C38" s="2" t="str">
        <f t="shared" si="0"/>
        <v>Dec</v>
      </c>
      <c r="D38" s="2">
        <f t="shared" si="1"/>
        <v>2025</v>
      </c>
      <c r="E38" s="2" t="s">
        <v>144</v>
      </c>
      <c r="F38" s="2" t="s">
        <v>38</v>
      </c>
      <c r="G38" s="2" t="s">
        <v>19</v>
      </c>
      <c r="H38" s="2" t="s">
        <v>101</v>
      </c>
      <c r="I38" s="2">
        <v>44770.68</v>
      </c>
      <c r="J38" s="2">
        <v>1</v>
      </c>
      <c r="K38" s="2">
        <v>2973.44</v>
      </c>
      <c r="L38" s="2"/>
    </row>
    <row r="39" spans="1:12" x14ac:dyDescent="0.25">
      <c r="A39" s="2" t="s">
        <v>145</v>
      </c>
      <c r="B39" s="4" t="s">
        <v>146</v>
      </c>
      <c r="C39" s="2" t="str">
        <f t="shared" si="0"/>
        <v>Aug</v>
      </c>
      <c r="D39" s="2">
        <f t="shared" si="1"/>
        <v>2025</v>
      </c>
      <c r="E39" s="2" t="s">
        <v>147</v>
      </c>
      <c r="F39" s="2" t="s">
        <v>97</v>
      </c>
      <c r="G39" s="2" t="s">
        <v>54</v>
      </c>
      <c r="H39" s="2" t="s">
        <v>138</v>
      </c>
      <c r="I39" s="2">
        <v>4089.19</v>
      </c>
      <c r="J39" s="2">
        <v>3</v>
      </c>
      <c r="K39" s="2">
        <v>836.25</v>
      </c>
      <c r="L39" s="2"/>
    </row>
    <row r="40" spans="1:12" x14ac:dyDescent="0.25">
      <c r="A40" s="2" t="s">
        <v>148</v>
      </c>
      <c r="B40" s="4" t="s">
        <v>149</v>
      </c>
      <c r="C40" s="2" t="str">
        <f t="shared" si="0"/>
        <v>May</v>
      </c>
      <c r="D40" s="2">
        <f t="shared" si="1"/>
        <v>2025</v>
      </c>
      <c r="E40" s="2" t="s">
        <v>150</v>
      </c>
      <c r="F40" s="2" t="s">
        <v>97</v>
      </c>
      <c r="G40" s="2" t="s">
        <v>13</v>
      </c>
      <c r="H40" s="2" t="s">
        <v>77</v>
      </c>
      <c r="I40" s="2">
        <v>43272.12</v>
      </c>
      <c r="J40" s="2">
        <v>1</v>
      </c>
      <c r="K40" s="2">
        <v>5791.44</v>
      </c>
      <c r="L40" s="2"/>
    </row>
    <row r="41" spans="1:12" x14ac:dyDescent="0.25">
      <c r="A41" s="2" t="s">
        <v>151</v>
      </c>
      <c r="B41" s="4" t="s">
        <v>152</v>
      </c>
      <c r="C41" s="2" t="str">
        <f t="shared" si="0"/>
        <v>Apr</v>
      </c>
      <c r="D41" s="2">
        <f t="shared" si="1"/>
        <v>2025</v>
      </c>
      <c r="E41" s="2" t="s">
        <v>153</v>
      </c>
      <c r="F41" s="2" t="s">
        <v>12</v>
      </c>
      <c r="G41" s="2" t="s">
        <v>25</v>
      </c>
      <c r="H41" s="2" t="s">
        <v>154</v>
      </c>
      <c r="I41" s="2">
        <v>23307.22</v>
      </c>
      <c r="J41" s="2">
        <v>7</v>
      </c>
      <c r="K41" s="2">
        <v>956.5</v>
      </c>
      <c r="L41" s="2"/>
    </row>
    <row r="42" spans="1:12" x14ac:dyDescent="0.25">
      <c r="A42" s="2" t="s">
        <v>155</v>
      </c>
      <c r="B42" s="4" t="s">
        <v>156</v>
      </c>
      <c r="C42" s="2" t="str">
        <f t="shared" si="0"/>
        <v>Jun</v>
      </c>
      <c r="D42" s="2">
        <f t="shared" si="1"/>
        <v>2025</v>
      </c>
      <c r="E42" s="2" t="s">
        <v>157</v>
      </c>
      <c r="F42" s="2" t="s">
        <v>38</v>
      </c>
      <c r="G42" s="2" t="s">
        <v>54</v>
      </c>
      <c r="H42" s="2" t="s">
        <v>55</v>
      </c>
      <c r="I42" s="2">
        <v>9602.0400000000009</v>
      </c>
      <c r="J42" s="2">
        <v>5</v>
      </c>
      <c r="K42" s="2">
        <v>-357.67</v>
      </c>
      <c r="L42" s="2"/>
    </row>
    <row r="43" spans="1:12" x14ac:dyDescent="0.25">
      <c r="A43" s="2" t="s">
        <v>158</v>
      </c>
      <c r="B43" s="4" t="s">
        <v>75</v>
      </c>
      <c r="C43" s="2" t="str">
        <f t="shared" si="0"/>
        <v>Sep</v>
      </c>
      <c r="D43" s="2">
        <f t="shared" si="1"/>
        <v>2025</v>
      </c>
      <c r="E43" s="2" t="s">
        <v>159</v>
      </c>
      <c r="F43" s="2" t="s">
        <v>24</v>
      </c>
      <c r="G43" s="2" t="s">
        <v>13</v>
      </c>
      <c r="H43" s="2" t="s">
        <v>77</v>
      </c>
      <c r="I43" s="2">
        <v>18408.39</v>
      </c>
      <c r="J43" s="2">
        <v>4</v>
      </c>
      <c r="K43" s="2">
        <v>4760.5200000000004</v>
      </c>
      <c r="L43" s="2"/>
    </row>
    <row r="44" spans="1:12" x14ac:dyDescent="0.25">
      <c r="A44" s="2" t="s">
        <v>160</v>
      </c>
      <c r="B44" s="4" t="s">
        <v>161</v>
      </c>
      <c r="C44" s="2" t="str">
        <f t="shared" si="0"/>
        <v>Jul</v>
      </c>
      <c r="D44" s="2">
        <f t="shared" si="1"/>
        <v>2025</v>
      </c>
      <c r="E44" s="2" t="s">
        <v>162</v>
      </c>
      <c r="F44" s="2" t="s">
        <v>42</v>
      </c>
      <c r="G44" s="2" t="s">
        <v>19</v>
      </c>
      <c r="H44" s="2" t="s">
        <v>20</v>
      </c>
      <c r="I44" s="2">
        <v>29454.68</v>
      </c>
      <c r="J44" s="2">
        <v>8</v>
      </c>
      <c r="K44" s="2">
        <v>4812.3900000000003</v>
      </c>
      <c r="L44" s="2"/>
    </row>
    <row r="45" spans="1:12" x14ac:dyDescent="0.25">
      <c r="A45" s="2" t="s">
        <v>163</v>
      </c>
      <c r="B45" s="4" t="s">
        <v>164</v>
      </c>
      <c r="C45" s="2" t="str">
        <f t="shared" si="0"/>
        <v>Jun</v>
      </c>
      <c r="D45" s="2">
        <f t="shared" si="1"/>
        <v>2025</v>
      </c>
      <c r="E45" s="2" t="s">
        <v>165</v>
      </c>
      <c r="F45" s="2" t="s">
        <v>38</v>
      </c>
      <c r="G45" s="2" t="s">
        <v>13</v>
      </c>
      <c r="H45" s="2" t="s">
        <v>121</v>
      </c>
      <c r="I45" s="2">
        <v>3733.24</v>
      </c>
      <c r="J45" s="2">
        <v>3</v>
      </c>
      <c r="K45" s="2">
        <v>-157.52000000000001</v>
      </c>
      <c r="L45" s="2"/>
    </row>
    <row r="46" spans="1:12" x14ac:dyDescent="0.25">
      <c r="A46" s="2" t="s">
        <v>166</v>
      </c>
      <c r="B46" s="4" t="s">
        <v>167</v>
      </c>
      <c r="C46" s="2" t="str">
        <f t="shared" si="0"/>
        <v>May</v>
      </c>
      <c r="D46" s="2">
        <f t="shared" si="1"/>
        <v>2025</v>
      </c>
      <c r="E46" s="2" t="s">
        <v>168</v>
      </c>
      <c r="F46" s="2" t="s">
        <v>97</v>
      </c>
      <c r="G46" s="2" t="s">
        <v>25</v>
      </c>
      <c r="H46" s="2" t="s">
        <v>169</v>
      </c>
      <c r="I46" s="2">
        <v>690.3</v>
      </c>
      <c r="J46" s="2">
        <v>8</v>
      </c>
      <c r="K46" s="2">
        <v>4.2</v>
      </c>
      <c r="L46" s="2"/>
    </row>
    <row r="47" spans="1:12" x14ac:dyDescent="0.25">
      <c r="A47" s="2" t="s">
        <v>170</v>
      </c>
      <c r="B47" s="4" t="s">
        <v>171</v>
      </c>
      <c r="C47" s="2" t="str">
        <f t="shared" si="0"/>
        <v>Jun</v>
      </c>
      <c r="D47" s="2">
        <f t="shared" si="1"/>
        <v>2025</v>
      </c>
      <c r="E47" s="2" t="s">
        <v>172</v>
      </c>
      <c r="F47" s="2" t="s">
        <v>97</v>
      </c>
      <c r="G47" s="2" t="s">
        <v>19</v>
      </c>
      <c r="H47" s="2" t="s">
        <v>101</v>
      </c>
      <c r="I47" s="2">
        <v>22136.05</v>
      </c>
      <c r="J47" s="2">
        <v>1</v>
      </c>
      <c r="K47" s="2">
        <v>1831.64</v>
      </c>
      <c r="L47" s="2"/>
    </row>
    <row r="48" spans="1:12" x14ac:dyDescent="0.25">
      <c r="A48" s="2" t="s">
        <v>173</v>
      </c>
      <c r="B48" s="4" t="s">
        <v>174</v>
      </c>
      <c r="C48" s="2" t="str">
        <f t="shared" si="0"/>
        <v>Feb</v>
      </c>
      <c r="D48" s="2">
        <f t="shared" si="1"/>
        <v>2025</v>
      </c>
      <c r="E48" s="2" t="s">
        <v>175</v>
      </c>
      <c r="F48" s="2" t="s">
        <v>12</v>
      </c>
      <c r="G48" s="2" t="s">
        <v>54</v>
      </c>
      <c r="H48" s="2" t="s">
        <v>138</v>
      </c>
      <c r="I48" s="2">
        <v>49224.39</v>
      </c>
      <c r="J48" s="2">
        <v>5</v>
      </c>
      <c r="K48" s="2">
        <v>-1003.64</v>
      </c>
      <c r="L48" s="2"/>
    </row>
    <row r="49" spans="1:12" x14ac:dyDescent="0.25">
      <c r="A49" s="2" t="s">
        <v>176</v>
      </c>
      <c r="B49" s="4" t="s">
        <v>177</v>
      </c>
      <c r="C49" s="2" t="str">
        <f t="shared" si="0"/>
        <v>Jun</v>
      </c>
      <c r="D49" s="2">
        <f t="shared" si="1"/>
        <v>2025</v>
      </c>
      <c r="E49" s="2" t="s">
        <v>178</v>
      </c>
      <c r="F49" s="2" t="s">
        <v>18</v>
      </c>
      <c r="G49" s="2" t="s">
        <v>19</v>
      </c>
      <c r="H49" s="2" t="s">
        <v>59</v>
      </c>
      <c r="I49" s="2">
        <v>25085.56</v>
      </c>
      <c r="J49" s="2">
        <v>7</v>
      </c>
      <c r="K49" s="2">
        <v>-147.38</v>
      </c>
      <c r="L49" s="2"/>
    </row>
    <row r="50" spans="1:12" x14ac:dyDescent="0.25">
      <c r="A50" s="2" t="s">
        <v>179</v>
      </c>
      <c r="B50" s="4" t="s">
        <v>180</v>
      </c>
      <c r="C50" s="2" t="str">
        <f t="shared" si="0"/>
        <v>Jan</v>
      </c>
      <c r="D50" s="2">
        <f t="shared" si="1"/>
        <v>2025</v>
      </c>
      <c r="E50" s="2" t="s">
        <v>181</v>
      </c>
      <c r="F50" s="2" t="s">
        <v>97</v>
      </c>
      <c r="G50" s="2" t="s">
        <v>54</v>
      </c>
      <c r="H50" s="2" t="s">
        <v>111</v>
      </c>
      <c r="I50" s="2">
        <v>17046.02</v>
      </c>
      <c r="J50" s="2">
        <v>4</v>
      </c>
      <c r="K50" s="2">
        <v>148</v>
      </c>
      <c r="L50" s="2"/>
    </row>
    <row r="51" spans="1:12" x14ac:dyDescent="0.25">
      <c r="A51" s="2" t="s">
        <v>182</v>
      </c>
      <c r="B51" s="4" t="s">
        <v>183</v>
      </c>
      <c r="C51" s="2" t="str">
        <f t="shared" si="0"/>
        <v>May</v>
      </c>
      <c r="D51" s="2">
        <f t="shared" si="1"/>
        <v>2025</v>
      </c>
      <c r="E51" s="2" t="s">
        <v>184</v>
      </c>
      <c r="F51" s="2" t="s">
        <v>42</v>
      </c>
      <c r="G51" s="2" t="s">
        <v>19</v>
      </c>
      <c r="H51" s="2" t="s">
        <v>101</v>
      </c>
      <c r="I51" s="2">
        <v>14029.47</v>
      </c>
      <c r="J51" s="2">
        <v>1</v>
      </c>
      <c r="K51" s="2">
        <v>244.13</v>
      </c>
      <c r="L51" s="2"/>
    </row>
    <row r="52" spans="1:12" x14ac:dyDescent="0.25">
      <c r="A52" s="2" t="s">
        <v>185</v>
      </c>
      <c r="B52" s="4" t="s">
        <v>186</v>
      </c>
      <c r="C52" s="2" t="str">
        <f t="shared" si="0"/>
        <v>Feb</v>
      </c>
      <c r="D52" s="2">
        <f t="shared" si="1"/>
        <v>2025</v>
      </c>
      <c r="E52" s="2" t="s">
        <v>187</v>
      </c>
      <c r="F52" s="2" t="s">
        <v>18</v>
      </c>
      <c r="G52" s="2" t="s">
        <v>13</v>
      </c>
      <c r="H52" s="2" t="s">
        <v>121</v>
      </c>
      <c r="I52" s="2">
        <v>15465.45</v>
      </c>
      <c r="J52" s="2">
        <v>10</v>
      </c>
      <c r="K52" s="2">
        <v>2814.35</v>
      </c>
      <c r="L52" s="2"/>
    </row>
    <row r="53" spans="1:12" x14ac:dyDescent="0.25">
      <c r="A53" s="2" t="s">
        <v>188</v>
      </c>
      <c r="B53" s="4" t="s">
        <v>183</v>
      </c>
      <c r="C53" s="2" t="str">
        <f t="shared" si="0"/>
        <v>May</v>
      </c>
      <c r="D53" s="2">
        <f t="shared" si="1"/>
        <v>2025</v>
      </c>
      <c r="E53" s="2" t="s">
        <v>189</v>
      </c>
      <c r="F53" s="2" t="s">
        <v>97</v>
      </c>
      <c r="G53" s="2" t="s">
        <v>54</v>
      </c>
      <c r="H53" s="2" t="s">
        <v>190</v>
      </c>
      <c r="I53" s="2">
        <v>10963.52</v>
      </c>
      <c r="J53" s="2">
        <v>10</v>
      </c>
      <c r="K53" s="2">
        <v>-148.54</v>
      </c>
      <c r="L53" s="2"/>
    </row>
    <row r="54" spans="1:12" x14ac:dyDescent="0.25">
      <c r="A54" s="2" t="s">
        <v>191</v>
      </c>
      <c r="B54" s="4" t="s">
        <v>192</v>
      </c>
      <c r="C54" s="2" t="str">
        <f t="shared" si="0"/>
        <v>Apr</v>
      </c>
      <c r="D54" s="2">
        <f t="shared" si="1"/>
        <v>2025</v>
      </c>
      <c r="E54" s="2" t="s">
        <v>193</v>
      </c>
      <c r="F54" s="2" t="s">
        <v>18</v>
      </c>
      <c r="G54" s="2" t="s">
        <v>13</v>
      </c>
      <c r="H54" s="2" t="s">
        <v>30</v>
      </c>
      <c r="I54" s="2">
        <v>26154.6</v>
      </c>
      <c r="J54" s="2">
        <v>7</v>
      </c>
      <c r="K54" s="2">
        <v>-1025.1199999999999</v>
      </c>
      <c r="L54" s="2"/>
    </row>
    <row r="55" spans="1:12" x14ac:dyDescent="0.25">
      <c r="A55" s="2" t="s">
        <v>194</v>
      </c>
      <c r="B55" s="4" t="s">
        <v>195</v>
      </c>
      <c r="C55" s="2" t="str">
        <f t="shared" si="0"/>
        <v>Aug</v>
      </c>
      <c r="D55" s="2">
        <f t="shared" si="1"/>
        <v>2025</v>
      </c>
      <c r="E55" s="2" t="s">
        <v>196</v>
      </c>
      <c r="F55" s="2" t="s">
        <v>18</v>
      </c>
      <c r="G55" s="2" t="s">
        <v>25</v>
      </c>
      <c r="H55" s="2" t="s">
        <v>154</v>
      </c>
      <c r="I55" s="2">
        <v>28685.85</v>
      </c>
      <c r="J55" s="2">
        <v>4</v>
      </c>
      <c r="K55" s="2">
        <v>6993.39</v>
      </c>
      <c r="L55" s="2"/>
    </row>
    <row r="56" spans="1:12" x14ac:dyDescent="0.25">
      <c r="A56" s="2" t="s">
        <v>197</v>
      </c>
      <c r="B56" s="4" t="s">
        <v>198</v>
      </c>
      <c r="C56" s="2" t="str">
        <f t="shared" si="0"/>
        <v>Aug</v>
      </c>
      <c r="D56" s="2">
        <f t="shared" si="1"/>
        <v>2025</v>
      </c>
      <c r="E56" s="2" t="s">
        <v>199</v>
      </c>
      <c r="F56" s="2" t="s">
        <v>42</v>
      </c>
      <c r="G56" s="2" t="s">
        <v>54</v>
      </c>
      <c r="H56" s="2" t="s">
        <v>190</v>
      </c>
      <c r="I56" s="2">
        <v>17835.71</v>
      </c>
      <c r="J56" s="2">
        <v>4</v>
      </c>
      <c r="K56" s="2">
        <v>1951.99</v>
      </c>
      <c r="L56" s="2"/>
    </row>
    <row r="57" spans="1:12" x14ac:dyDescent="0.25">
      <c r="A57" s="2" t="s">
        <v>200</v>
      </c>
      <c r="B57" s="4" t="s">
        <v>201</v>
      </c>
      <c r="C57" s="2" t="str">
        <f t="shared" si="0"/>
        <v>Sep</v>
      </c>
      <c r="D57" s="2">
        <f t="shared" si="1"/>
        <v>2025</v>
      </c>
      <c r="E57" s="2" t="s">
        <v>202</v>
      </c>
      <c r="F57" s="2" t="s">
        <v>12</v>
      </c>
      <c r="G57" s="2" t="s">
        <v>19</v>
      </c>
      <c r="H57" s="2" t="s">
        <v>59</v>
      </c>
      <c r="I57" s="2">
        <v>6766.87</v>
      </c>
      <c r="J57" s="2">
        <v>6</v>
      </c>
      <c r="K57" s="2">
        <v>383.76</v>
      </c>
      <c r="L57" s="2"/>
    </row>
    <row r="58" spans="1:12" x14ac:dyDescent="0.25">
      <c r="A58" s="2" t="s">
        <v>203</v>
      </c>
      <c r="B58" s="4" t="s">
        <v>204</v>
      </c>
      <c r="C58" s="2" t="str">
        <f t="shared" si="0"/>
        <v>Jul</v>
      </c>
      <c r="D58" s="2">
        <f t="shared" si="1"/>
        <v>2025</v>
      </c>
      <c r="E58" s="2" t="s">
        <v>205</v>
      </c>
      <c r="F58" s="2" t="s">
        <v>97</v>
      </c>
      <c r="G58" s="2" t="s">
        <v>19</v>
      </c>
      <c r="H58" s="2" t="s">
        <v>63</v>
      </c>
      <c r="I58" s="2">
        <v>24856.29</v>
      </c>
      <c r="J58" s="2">
        <v>8</v>
      </c>
      <c r="K58" s="2">
        <v>3243.84</v>
      </c>
      <c r="L58" s="2"/>
    </row>
    <row r="59" spans="1:12" x14ac:dyDescent="0.25">
      <c r="A59" s="2" t="s">
        <v>206</v>
      </c>
      <c r="B59" s="4" t="s">
        <v>207</v>
      </c>
      <c r="C59" s="2" t="str">
        <f t="shared" si="0"/>
        <v>Jan</v>
      </c>
      <c r="D59" s="2">
        <f t="shared" si="1"/>
        <v>2025</v>
      </c>
      <c r="E59" s="2" t="s">
        <v>208</v>
      </c>
      <c r="F59" s="2" t="s">
        <v>34</v>
      </c>
      <c r="G59" s="2" t="s">
        <v>54</v>
      </c>
      <c r="H59" s="2" t="s">
        <v>190</v>
      </c>
      <c r="I59" s="2">
        <v>33677.660000000003</v>
      </c>
      <c r="J59" s="2">
        <v>6</v>
      </c>
      <c r="K59" s="2">
        <v>2599.4699999999998</v>
      </c>
      <c r="L59" s="2"/>
    </row>
    <row r="60" spans="1:12" x14ac:dyDescent="0.25">
      <c r="A60" s="2" t="s">
        <v>209</v>
      </c>
      <c r="B60" s="4" t="s">
        <v>210</v>
      </c>
      <c r="C60" s="2" t="str">
        <f t="shared" si="0"/>
        <v>Oct</v>
      </c>
      <c r="D60" s="2">
        <f t="shared" si="1"/>
        <v>2025</v>
      </c>
      <c r="E60" s="2" t="s">
        <v>211</v>
      </c>
      <c r="F60" s="2" t="s">
        <v>12</v>
      </c>
      <c r="G60" s="2" t="s">
        <v>13</v>
      </c>
      <c r="H60" s="2" t="s">
        <v>77</v>
      </c>
      <c r="I60" s="2">
        <v>10364.07</v>
      </c>
      <c r="J60" s="2">
        <v>10</v>
      </c>
      <c r="K60" s="2">
        <v>1656.61</v>
      </c>
      <c r="L60" s="2"/>
    </row>
    <row r="61" spans="1:12" x14ac:dyDescent="0.25">
      <c r="A61" s="2" t="s">
        <v>212</v>
      </c>
      <c r="B61" s="4" t="s">
        <v>177</v>
      </c>
      <c r="C61" s="2" t="str">
        <f t="shared" si="0"/>
        <v>Jun</v>
      </c>
      <c r="D61" s="2">
        <f t="shared" si="1"/>
        <v>2025</v>
      </c>
      <c r="E61" s="2" t="s">
        <v>213</v>
      </c>
      <c r="F61" s="2" t="s">
        <v>34</v>
      </c>
      <c r="G61" s="2" t="s">
        <v>19</v>
      </c>
      <c r="H61" s="2" t="s">
        <v>59</v>
      </c>
      <c r="I61" s="2">
        <v>19523.79</v>
      </c>
      <c r="J61" s="2">
        <v>1</v>
      </c>
      <c r="K61" s="2">
        <v>5654.11</v>
      </c>
      <c r="L61" s="2"/>
    </row>
    <row r="62" spans="1:12" x14ac:dyDescent="0.25">
      <c r="A62" s="2" t="s">
        <v>214</v>
      </c>
      <c r="B62" s="4" t="s">
        <v>167</v>
      </c>
      <c r="C62" s="2" t="str">
        <f t="shared" si="0"/>
        <v>May</v>
      </c>
      <c r="D62" s="2">
        <f t="shared" si="1"/>
        <v>2025</v>
      </c>
      <c r="E62" s="2" t="s">
        <v>215</v>
      </c>
      <c r="F62" s="2" t="s">
        <v>18</v>
      </c>
      <c r="G62" s="2" t="s">
        <v>13</v>
      </c>
      <c r="H62" s="2" t="s">
        <v>14</v>
      </c>
      <c r="I62" s="2">
        <v>33810.04</v>
      </c>
      <c r="J62" s="2">
        <v>4</v>
      </c>
      <c r="K62" s="2">
        <v>10041.39</v>
      </c>
      <c r="L62" s="2"/>
    </row>
    <row r="63" spans="1:12" x14ac:dyDescent="0.25">
      <c r="A63" s="2" t="s">
        <v>216</v>
      </c>
      <c r="B63" s="4" t="s">
        <v>217</v>
      </c>
      <c r="C63" s="2" t="str">
        <f t="shared" si="0"/>
        <v>Mar</v>
      </c>
      <c r="D63" s="2">
        <f t="shared" si="1"/>
        <v>2025</v>
      </c>
      <c r="E63" s="2" t="s">
        <v>218</v>
      </c>
      <c r="F63" s="2" t="s">
        <v>12</v>
      </c>
      <c r="G63" s="2" t="s">
        <v>19</v>
      </c>
      <c r="H63" s="2" t="s">
        <v>59</v>
      </c>
      <c r="I63" s="2">
        <v>33017.07</v>
      </c>
      <c r="J63" s="2">
        <v>9</v>
      </c>
      <c r="K63" s="2">
        <v>-1264.8800000000001</v>
      </c>
      <c r="L63" s="2"/>
    </row>
    <row r="64" spans="1:12" x14ac:dyDescent="0.25">
      <c r="A64" s="2" t="s">
        <v>219</v>
      </c>
      <c r="B64" s="4" t="s">
        <v>220</v>
      </c>
      <c r="C64" s="2" t="str">
        <f t="shared" si="0"/>
        <v>Mar</v>
      </c>
      <c r="D64" s="2">
        <f t="shared" si="1"/>
        <v>2025</v>
      </c>
      <c r="E64" s="2" t="s">
        <v>221</v>
      </c>
      <c r="F64" s="2" t="s">
        <v>42</v>
      </c>
      <c r="G64" s="2" t="s">
        <v>25</v>
      </c>
      <c r="H64" s="2" t="s">
        <v>47</v>
      </c>
      <c r="I64" s="2">
        <v>37423.54</v>
      </c>
      <c r="J64" s="2">
        <v>10</v>
      </c>
      <c r="K64" s="2">
        <v>2893.39</v>
      </c>
      <c r="L64" s="2"/>
    </row>
    <row r="65" spans="1:12" x14ac:dyDescent="0.25">
      <c r="A65" s="2" t="s">
        <v>222</v>
      </c>
      <c r="B65" s="4" t="s">
        <v>223</v>
      </c>
      <c r="C65" s="2" t="str">
        <f t="shared" si="0"/>
        <v>Jan</v>
      </c>
      <c r="D65" s="2">
        <f t="shared" si="1"/>
        <v>2025</v>
      </c>
      <c r="E65" s="2" t="s">
        <v>224</v>
      </c>
      <c r="F65" s="2" t="s">
        <v>42</v>
      </c>
      <c r="G65" s="2" t="s">
        <v>19</v>
      </c>
      <c r="H65" s="2" t="s">
        <v>20</v>
      </c>
      <c r="I65" s="2">
        <v>34086.71</v>
      </c>
      <c r="J65" s="2">
        <v>7</v>
      </c>
      <c r="K65" s="2">
        <v>2463.83</v>
      </c>
      <c r="L65" s="2"/>
    </row>
    <row r="66" spans="1:12" x14ac:dyDescent="0.25">
      <c r="A66" s="2" t="s">
        <v>225</v>
      </c>
      <c r="B66" s="4" t="s">
        <v>226</v>
      </c>
      <c r="C66" s="2" t="str">
        <f t="shared" si="0"/>
        <v>Feb</v>
      </c>
      <c r="D66" s="2">
        <f t="shared" si="1"/>
        <v>2025</v>
      </c>
      <c r="E66" s="2" t="s">
        <v>227</v>
      </c>
      <c r="F66" s="2" t="s">
        <v>18</v>
      </c>
      <c r="G66" s="2" t="s">
        <v>54</v>
      </c>
      <c r="H66" s="2" t="s">
        <v>190</v>
      </c>
      <c r="I66" s="2">
        <v>28541.56</v>
      </c>
      <c r="J66" s="2">
        <v>5</v>
      </c>
      <c r="K66" s="2">
        <v>3818.11</v>
      </c>
      <c r="L66" s="2"/>
    </row>
    <row r="67" spans="1:12" x14ac:dyDescent="0.25">
      <c r="A67" s="2" t="s">
        <v>228</v>
      </c>
      <c r="B67" s="4" t="s">
        <v>229</v>
      </c>
      <c r="C67" s="2" t="str">
        <f t="shared" ref="C67:C130" si="2">TEXT(B67, "mmm")</f>
        <v>Jul</v>
      </c>
      <c r="D67" s="2">
        <f t="shared" ref="D67:D130" si="3">YEAR(B67)</f>
        <v>2025</v>
      </c>
      <c r="E67" s="2" t="s">
        <v>230</v>
      </c>
      <c r="F67" s="2" t="s">
        <v>18</v>
      </c>
      <c r="G67" s="2" t="s">
        <v>54</v>
      </c>
      <c r="H67" s="2" t="s">
        <v>138</v>
      </c>
      <c r="I67" s="2">
        <v>11134.31</v>
      </c>
      <c r="J67" s="2">
        <v>6</v>
      </c>
      <c r="K67" s="2">
        <v>2957.9</v>
      </c>
      <c r="L67" s="2"/>
    </row>
    <row r="68" spans="1:12" x14ac:dyDescent="0.25">
      <c r="A68" s="2" t="s">
        <v>231</v>
      </c>
      <c r="B68" s="4" t="s">
        <v>232</v>
      </c>
      <c r="C68" s="2" t="str">
        <f t="shared" si="2"/>
        <v>Mar</v>
      </c>
      <c r="D68" s="2">
        <f t="shared" si="3"/>
        <v>2025</v>
      </c>
      <c r="E68" s="2" t="s">
        <v>233</v>
      </c>
      <c r="F68" s="2" t="s">
        <v>38</v>
      </c>
      <c r="G68" s="2" t="s">
        <v>54</v>
      </c>
      <c r="H68" s="2" t="s">
        <v>190</v>
      </c>
      <c r="I68" s="2">
        <v>49210.64</v>
      </c>
      <c r="J68" s="2">
        <v>1</v>
      </c>
      <c r="K68" s="2">
        <v>-460.83</v>
      </c>
      <c r="L68" s="2"/>
    </row>
    <row r="69" spans="1:12" x14ac:dyDescent="0.25">
      <c r="A69" s="2" t="s">
        <v>234</v>
      </c>
      <c r="B69" s="4" t="s">
        <v>49</v>
      </c>
      <c r="C69" s="2" t="str">
        <f t="shared" si="2"/>
        <v>Jul</v>
      </c>
      <c r="D69" s="2">
        <f t="shared" si="3"/>
        <v>2025</v>
      </c>
      <c r="E69" s="2" t="s">
        <v>235</v>
      </c>
      <c r="F69" s="2" t="s">
        <v>34</v>
      </c>
      <c r="G69" s="2" t="s">
        <v>54</v>
      </c>
      <c r="H69" s="2" t="s">
        <v>84</v>
      </c>
      <c r="I69" s="2">
        <v>7981.93</v>
      </c>
      <c r="J69" s="2">
        <v>9</v>
      </c>
      <c r="K69" s="2">
        <v>218.02</v>
      </c>
      <c r="L69" s="2"/>
    </row>
    <row r="70" spans="1:12" x14ac:dyDescent="0.25">
      <c r="A70" s="2" t="s">
        <v>236</v>
      </c>
      <c r="B70" s="4" t="s">
        <v>237</v>
      </c>
      <c r="C70" s="2" t="str">
        <f t="shared" si="2"/>
        <v>May</v>
      </c>
      <c r="D70" s="2">
        <f t="shared" si="3"/>
        <v>2025</v>
      </c>
      <c r="E70" s="2" t="s">
        <v>238</v>
      </c>
      <c r="F70" s="2" t="s">
        <v>12</v>
      </c>
      <c r="G70" s="2" t="s">
        <v>25</v>
      </c>
      <c r="H70" s="2" t="s">
        <v>154</v>
      </c>
      <c r="I70" s="2">
        <v>11786.08</v>
      </c>
      <c r="J70" s="2">
        <v>10</v>
      </c>
      <c r="K70" s="2">
        <v>1299.3900000000001</v>
      </c>
      <c r="L70" s="2"/>
    </row>
    <row r="71" spans="1:12" x14ac:dyDescent="0.25">
      <c r="A71" s="2" t="s">
        <v>239</v>
      </c>
      <c r="B71" s="4" t="s">
        <v>240</v>
      </c>
      <c r="C71" s="2" t="str">
        <f t="shared" si="2"/>
        <v>Mar</v>
      </c>
      <c r="D71" s="2">
        <f t="shared" si="3"/>
        <v>2025</v>
      </c>
      <c r="E71" s="2" t="s">
        <v>241</v>
      </c>
      <c r="F71" s="2" t="s">
        <v>18</v>
      </c>
      <c r="G71" s="2" t="s">
        <v>19</v>
      </c>
      <c r="H71" s="2" t="s">
        <v>101</v>
      </c>
      <c r="I71" s="2">
        <v>22564.400000000001</v>
      </c>
      <c r="J71" s="2">
        <v>9</v>
      </c>
      <c r="K71" s="2">
        <v>4937.1499999999996</v>
      </c>
      <c r="L71" s="2"/>
    </row>
    <row r="72" spans="1:12" x14ac:dyDescent="0.25">
      <c r="A72" s="2" t="s">
        <v>242</v>
      </c>
      <c r="B72" s="4" t="s">
        <v>109</v>
      </c>
      <c r="C72" s="2" t="str">
        <f t="shared" si="2"/>
        <v>Aug</v>
      </c>
      <c r="D72" s="2">
        <f t="shared" si="3"/>
        <v>2025</v>
      </c>
      <c r="E72" s="2" t="s">
        <v>243</v>
      </c>
      <c r="F72" s="2" t="s">
        <v>34</v>
      </c>
      <c r="G72" s="2" t="s">
        <v>54</v>
      </c>
      <c r="H72" s="2" t="s">
        <v>84</v>
      </c>
      <c r="I72" s="2">
        <v>20024.560000000001</v>
      </c>
      <c r="J72" s="2">
        <v>4</v>
      </c>
      <c r="K72" s="2">
        <v>4146.6099999999997</v>
      </c>
      <c r="L72" s="2"/>
    </row>
    <row r="73" spans="1:12" x14ac:dyDescent="0.25">
      <c r="A73" s="2" t="s">
        <v>244</v>
      </c>
      <c r="B73" s="4" t="s">
        <v>22</v>
      </c>
      <c r="C73" s="2" t="str">
        <f t="shared" si="2"/>
        <v>Mar</v>
      </c>
      <c r="D73" s="2">
        <f t="shared" si="3"/>
        <v>2025</v>
      </c>
      <c r="E73" s="2" t="s">
        <v>245</v>
      </c>
      <c r="F73" s="2" t="s">
        <v>42</v>
      </c>
      <c r="G73" s="2" t="s">
        <v>19</v>
      </c>
      <c r="H73" s="2" t="s">
        <v>20</v>
      </c>
      <c r="I73" s="2">
        <v>4541.66</v>
      </c>
      <c r="J73" s="2">
        <v>10</v>
      </c>
      <c r="K73" s="2">
        <v>588.29</v>
      </c>
      <c r="L73" s="2"/>
    </row>
    <row r="74" spans="1:12" x14ac:dyDescent="0.25">
      <c r="A74" s="2" t="s">
        <v>246</v>
      </c>
      <c r="B74" s="4" t="s">
        <v>247</v>
      </c>
      <c r="C74" s="2" t="str">
        <f t="shared" si="2"/>
        <v>Aug</v>
      </c>
      <c r="D74" s="2">
        <f t="shared" si="3"/>
        <v>2025</v>
      </c>
      <c r="E74" s="2" t="s">
        <v>248</v>
      </c>
      <c r="F74" s="2" t="s">
        <v>12</v>
      </c>
      <c r="G74" s="2" t="s">
        <v>19</v>
      </c>
      <c r="H74" s="2" t="s">
        <v>43</v>
      </c>
      <c r="I74" s="2">
        <v>39521.81</v>
      </c>
      <c r="J74" s="2">
        <v>4</v>
      </c>
      <c r="K74" s="2">
        <v>4447.55</v>
      </c>
      <c r="L74" s="2"/>
    </row>
    <row r="75" spans="1:12" x14ac:dyDescent="0.25">
      <c r="A75" s="2" t="s">
        <v>249</v>
      </c>
      <c r="B75" s="4" t="s">
        <v>250</v>
      </c>
      <c r="C75" s="2" t="str">
        <f t="shared" si="2"/>
        <v>Nov</v>
      </c>
      <c r="D75" s="2">
        <f t="shared" si="3"/>
        <v>2025</v>
      </c>
      <c r="E75" s="2" t="s">
        <v>251</v>
      </c>
      <c r="F75" s="2" t="s">
        <v>34</v>
      </c>
      <c r="G75" s="2" t="s">
        <v>13</v>
      </c>
      <c r="H75" s="2" t="s">
        <v>121</v>
      </c>
      <c r="I75" s="2">
        <v>38867.56</v>
      </c>
      <c r="J75" s="2">
        <v>2</v>
      </c>
      <c r="K75" s="2">
        <v>6395.59</v>
      </c>
      <c r="L75" s="2"/>
    </row>
    <row r="76" spans="1:12" x14ac:dyDescent="0.25">
      <c r="A76" s="2" t="s">
        <v>252</v>
      </c>
      <c r="B76" s="4" t="s">
        <v>253</v>
      </c>
      <c r="C76" s="2" t="str">
        <f t="shared" si="2"/>
        <v>Jul</v>
      </c>
      <c r="D76" s="2">
        <f t="shared" si="3"/>
        <v>2025</v>
      </c>
      <c r="E76" s="2" t="s">
        <v>254</v>
      </c>
      <c r="F76" s="2" t="s">
        <v>18</v>
      </c>
      <c r="G76" s="2" t="s">
        <v>54</v>
      </c>
      <c r="H76" s="2" t="s">
        <v>138</v>
      </c>
      <c r="I76" s="2">
        <v>15732.71</v>
      </c>
      <c r="J76" s="2">
        <v>5</v>
      </c>
      <c r="K76" s="2">
        <v>1313.42</v>
      </c>
      <c r="L76" s="2"/>
    </row>
    <row r="77" spans="1:12" x14ac:dyDescent="0.25">
      <c r="A77" s="2" t="s">
        <v>255</v>
      </c>
      <c r="B77" s="4" t="s">
        <v>256</v>
      </c>
      <c r="C77" s="2" t="str">
        <f t="shared" si="2"/>
        <v>Jan</v>
      </c>
      <c r="D77" s="2">
        <f t="shared" si="3"/>
        <v>2025</v>
      </c>
      <c r="E77" s="2" t="s">
        <v>257</v>
      </c>
      <c r="F77" s="2" t="s">
        <v>34</v>
      </c>
      <c r="G77" s="2" t="s">
        <v>19</v>
      </c>
      <c r="H77" s="2" t="s">
        <v>101</v>
      </c>
      <c r="I77" s="2">
        <v>36917.96</v>
      </c>
      <c r="J77" s="2">
        <v>7</v>
      </c>
      <c r="K77" s="2">
        <v>1976.95</v>
      </c>
      <c r="L77" s="2"/>
    </row>
    <row r="78" spans="1:12" x14ac:dyDescent="0.25">
      <c r="A78" s="2" t="s">
        <v>258</v>
      </c>
      <c r="B78" s="4" t="s">
        <v>259</v>
      </c>
      <c r="C78" s="2" t="str">
        <f t="shared" si="2"/>
        <v>Oct</v>
      </c>
      <c r="D78" s="2">
        <f t="shared" si="3"/>
        <v>2025</v>
      </c>
      <c r="E78" s="2" t="s">
        <v>260</v>
      </c>
      <c r="F78" s="2" t="s">
        <v>24</v>
      </c>
      <c r="G78" s="2" t="s">
        <v>13</v>
      </c>
      <c r="H78" s="2" t="s">
        <v>30</v>
      </c>
      <c r="I78" s="2">
        <v>26959.11</v>
      </c>
      <c r="J78" s="2">
        <v>2</v>
      </c>
      <c r="K78" s="2">
        <v>5589.63</v>
      </c>
      <c r="L78" s="2"/>
    </row>
    <row r="79" spans="1:12" x14ac:dyDescent="0.25">
      <c r="A79" s="2" t="s">
        <v>261</v>
      </c>
      <c r="B79" s="4" t="s">
        <v>262</v>
      </c>
      <c r="C79" s="2" t="str">
        <f t="shared" si="2"/>
        <v>Nov</v>
      </c>
      <c r="D79" s="2">
        <f t="shared" si="3"/>
        <v>2025</v>
      </c>
      <c r="E79" s="2" t="s">
        <v>263</v>
      </c>
      <c r="F79" s="2" t="s">
        <v>34</v>
      </c>
      <c r="G79" s="2" t="s">
        <v>54</v>
      </c>
      <c r="H79" s="2" t="s">
        <v>84</v>
      </c>
      <c r="I79" s="2">
        <v>5618.58</v>
      </c>
      <c r="J79" s="2">
        <v>5</v>
      </c>
      <c r="K79" s="2">
        <v>1679.88</v>
      </c>
      <c r="L79" s="2"/>
    </row>
    <row r="80" spans="1:12" x14ac:dyDescent="0.25">
      <c r="A80" s="2" t="s">
        <v>264</v>
      </c>
      <c r="B80" s="4" t="s">
        <v>265</v>
      </c>
      <c r="C80" s="2" t="str">
        <f t="shared" si="2"/>
        <v>Nov</v>
      </c>
      <c r="D80" s="2">
        <f t="shared" si="3"/>
        <v>2025</v>
      </c>
      <c r="E80" s="2" t="s">
        <v>266</v>
      </c>
      <c r="F80" s="2" t="s">
        <v>12</v>
      </c>
      <c r="G80" s="2" t="s">
        <v>19</v>
      </c>
      <c r="H80" s="2" t="s">
        <v>20</v>
      </c>
      <c r="I80" s="2">
        <v>1927.12</v>
      </c>
      <c r="J80" s="2">
        <v>7</v>
      </c>
      <c r="K80" s="2">
        <v>231.29</v>
      </c>
      <c r="L80" s="2"/>
    </row>
    <row r="81" spans="1:12" x14ac:dyDescent="0.25">
      <c r="A81" s="2" t="s">
        <v>267</v>
      </c>
      <c r="B81" s="4" t="s">
        <v>268</v>
      </c>
      <c r="C81" s="2" t="str">
        <f t="shared" si="2"/>
        <v>Mar</v>
      </c>
      <c r="D81" s="2">
        <f t="shared" si="3"/>
        <v>2025</v>
      </c>
      <c r="E81" s="2" t="s">
        <v>269</v>
      </c>
      <c r="F81" s="2" t="s">
        <v>34</v>
      </c>
      <c r="G81" s="2" t="s">
        <v>13</v>
      </c>
      <c r="H81" s="2" t="s">
        <v>14</v>
      </c>
      <c r="I81" s="2">
        <v>46277.760000000002</v>
      </c>
      <c r="J81" s="2">
        <v>4</v>
      </c>
      <c r="K81" s="2">
        <v>3197.52</v>
      </c>
      <c r="L81" s="2"/>
    </row>
    <row r="82" spans="1:12" x14ac:dyDescent="0.25">
      <c r="A82" s="2" t="s">
        <v>270</v>
      </c>
      <c r="B82" s="4" t="s">
        <v>174</v>
      </c>
      <c r="C82" s="2" t="str">
        <f t="shared" si="2"/>
        <v>Feb</v>
      </c>
      <c r="D82" s="2">
        <f t="shared" si="3"/>
        <v>2025</v>
      </c>
      <c r="E82" s="2" t="s">
        <v>271</v>
      </c>
      <c r="F82" s="2" t="s">
        <v>18</v>
      </c>
      <c r="G82" s="2" t="s">
        <v>13</v>
      </c>
      <c r="H82" s="2" t="s">
        <v>121</v>
      </c>
      <c r="I82" s="2">
        <v>4486.07</v>
      </c>
      <c r="J82" s="2">
        <v>7</v>
      </c>
      <c r="K82" s="2">
        <v>428.99</v>
      </c>
      <c r="L82" s="2"/>
    </row>
    <row r="83" spans="1:12" x14ac:dyDescent="0.25">
      <c r="A83" s="2" t="s">
        <v>272</v>
      </c>
      <c r="B83" s="4" t="s">
        <v>126</v>
      </c>
      <c r="C83" s="2" t="str">
        <f t="shared" si="2"/>
        <v>Sep</v>
      </c>
      <c r="D83" s="2">
        <f t="shared" si="3"/>
        <v>2025</v>
      </c>
      <c r="E83" s="2" t="s">
        <v>273</v>
      </c>
      <c r="F83" s="2" t="s">
        <v>42</v>
      </c>
      <c r="G83" s="2" t="s">
        <v>19</v>
      </c>
      <c r="H83" s="2" t="s">
        <v>59</v>
      </c>
      <c r="I83" s="2">
        <v>38042.57</v>
      </c>
      <c r="J83" s="2">
        <v>2</v>
      </c>
      <c r="K83" s="2">
        <v>3210.76</v>
      </c>
      <c r="L83" s="2"/>
    </row>
    <row r="84" spans="1:12" x14ac:dyDescent="0.25">
      <c r="A84" s="2" t="s">
        <v>274</v>
      </c>
      <c r="B84" s="4" t="s">
        <v>275</v>
      </c>
      <c r="C84" s="2" t="str">
        <f t="shared" si="2"/>
        <v>Sep</v>
      </c>
      <c r="D84" s="2">
        <f t="shared" si="3"/>
        <v>2025</v>
      </c>
      <c r="E84" s="2" t="s">
        <v>276</v>
      </c>
      <c r="F84" s="2" t="s">
        <v>18</v>
      </c>
      <c r="G84" s="2" t="s">
        <v>13</v>
      </c>
      <c r="H84" s="2" t="s">
        <v>121</v>
      </c>
      <c r="I84" s="2">
        <v>38697.230000000003</v>
      </c>
      <c r="J84" s="2">
        <v>8</v>
      </c>
      <c r="K84" s="2">
        <v>7041.02</v>
      </c>
      <c r="L84" s="2"/>
    </row>
    <row r="85" spans="1:12" x14ac:dyDescent="0.25">
      <c r="A85" s="2" t="s">
        <v>277</v>
      </c>
      <c r="B85" s="4" t="s">
        <v>278</v>
      </c>
      <c r="C85" s="2" t="str">
        <f t="shared" si="2"/>
        <v>Oct</v>
      </c>
      <c r="D85" s="2">
        <f t="shared" si="3"/>
        <v>2025</v>
      </c>
      <c r="E85" s="2" t="s">
        <v>279</v>
      </c>
      <c r="F85" s="2" t="s">
        <v>97</v>
      </c>
      <c r="G85" s="2" t="s">
        <v>54</v>
      </c>
      <c r="H85" s="2" t="s">
        <v>138</v>
      </c>
      <c r="I85" s="2">
        <v>46106.04</v>
      </c>
      <c r="J85" s="2">
        <v>9</v>
      </c>
      <c r="K85" s="2">
        <v>-1509.35</v>
      </c>
      <c r="L85" s="2"/>
    </row>
    <row r="86" spans="1:12" x14ac:dyDescent="0.25">
      <c r="A86" s="2" t="s">
        <v>280</v>
      </c>
      <c r="B86" s="4" t="s">
        <v>281</v>
      </c>
      <c r="C86" s="2" t="str">
        <f t="shared" si="2"/>
        <v>Apr</v>
      </c>
      <c r="D86" s="2">
        <f t="shared" si="3"/>
        <v>2025</v>
      </c>
      <c r="E86" s="2" t="s">
        <v>282</v>
      </c>
      <c r="F86" s="2" t="s">
        <v>97</v>
      </c>
      <c r="G86" s="2" t="s">
        <v>19</v>
      </c>
      <c r="H86" s="2" t="s">
        <v>59</v>
      </c>
      <c r="I86" s="2">
        <v>42954.27</v>
      </c>
      <c r="J86" s="2">
        <v>3</v>
      </c>
      <c r="K86" s="2">
        <v>-1018.18</v>
      </c>
      <c r="L86" s="2"/>
    </row>
    <row r="87" spans="1:12" x14ac:dyDescent="0.25">
      <c r="A87" s="2" t="s">
        <v>283</v>
      </c>
      <c r="B87" s="4" t="s">
        <v>284</v>
      </c>
      <c r="C87" s="2" t="str">
        <f t="shared" si="2"/>
        <v>Nov</v>
      </c>
      <c r="D87" s="2">
        <f t="shared" si="3"/>
        <v>2025</v>
      </c>
      <c r="E87" s="2" t="s">
        <v>285</v>
      </c>
      <c r="F87" s="2" t="s">
        <v>38</v>
      </c>
      <c r="G87" s="2" t="s">
        <v>19</v>
      </c>
      <c r="H87" s="2" t="s">
        <v>20</v>
      </c>
      <c r="I87" s="2">
        <v>42549.88</v>
      </c>
      <c r="J87" s="2">
        <v>6</v>
      </c>
      <c r="K87" s="2">
        <v>8878.33</v>
      </c>
      <c r="L87" s="2"/>
    </row>
    <row r="88" spans="1:12" x14ac:dyDescent="0.25">
      <c r="A88" s="2" t="s">
        <v>286</v>
      </c>
      <c r="B88" s="4" t="s">
        <v>287</v>
      </c>
      <c r="C88" s="2" t="str">
        <f t="shared" si="2"/>
        <v>Oct</v>
      </c>
      <c r="D88" s="2">
        <f t="shared" si="3"/>
        <v>2025</v>
      </c>
      <c r="E88" s="2" t="s">
        <v>288</v>
      </c>
      <c r="F88" s="2" t="s">
        <v>42</v>
      </c>
      <c r="G88" s="2" t="s">
        <v>19</v>
      </c>
      <c r="H88" s="2" t="s">
        <v>59</v>
      </c>
      <c r="I88" s="2">
        <v>28531.11</v>
      </c>
      <c r="J88" s="2">
        <v>8</v>
      </c>
      <c r="K88" s="2">
        <v>5409.1</v>
      </c>
      <c r="L88" s="2"/>
    </row>
    <row r="89" spans="1:12" x14ac:dyDescent="0.25">
      <c r="A89" s="2" t="s">
        <v>289</v>
      </c>
      <c r="B89" s="4" t="s">
        <v>217</v>
      </c>
      <c r="C89" s="2" t="str">
        <f t="shared" si="2"/>
        <v>Mar</v>
      </c>
      <c r="D89" s="2">
        <f t="shared" si="3"/>
        <v>2025</v>
      </c>
      <c r="E89" s="2" t="s">
        <v>290</v>
      </c>
      <c r="F89" s="2" t="s">
        <v>34</v>
      </c>
      <c r="G89" s="2" t="s">
        <v>19</v>
      </c>
      <c r="H89" s="2" t="s">
        <v>101</v>
      </c>
      <c r="I89" s="2">
        <v>18058.59</v>
      </c>
      <c r="J89" s="2">
        <v>4</v>
      </c>
      <c r="K89" s="2">
        <v>-52.39</v>
      </c>
      <c r="L89" s="2"/>
    </row>
    <row r="90" spans="1:12" x14ac:dyDescent="0.25">
      <c r="A90" s="2" t="s">
        <v>291</v>
      </c>
      <c r="B90" s="4" t="s">
        <v>32</v>
      </c>
      <c r="C90" s="2" t="str">
        <f t="shared" si="2"/>
        <v>May</v>
      </c>
      <c r="D90" s="2">
        <f t="shared" si="3"/>
        <v>2025</v>
      </c>
      <c r="E90" s="2" t="s">
        <v>292</v>
      </c>
      <c r="F90" s="2" t="s">
        <v>38</v>
      </c>
      <c r="G90" s="2" t="s">
        <v>54</v>
      </c>
      <c r="H90" s="2" t="s">
        <v>111</v>
      </c>
      <c r="I90" s="2">
        <v>40748.58</v>
      </c>
      <c r="J90" s="2">
        <v>7</v>
      </c>
      <c r="K90" s="2">
        <v>6558.37</v>
      </c>
      <c r="L90" s="2"/>
    </row>
    <row r="91" spans="1:12" x14ac:dyDescent="0.25">
      <c r="A91" s="2" t="s">
        <v>293</v>
      </c>
      <c r="B91" s="4" t="s">
        <v>294</v>
      </c>
      <c r="C91" s="2" t="str">
        <f t="shared" si="2"/>
        <v>Feb</v>
      </c>
      <c r="D91" s="2">
        <f t="shared" si="3"/>
        <v>2025</v>
      </c>
      <c r="E91" s="2" t="s">
        <v>295</v>
      </c>
      <c r="F91" s="2" t="s">
        <v>38</v>
      </c>
      <c r="G91" s="2" t="s">
        <v>19</v>
      </c>
      <c r="H91" s="2" t="s">
        <v>101</v>
      </c>
      <c r="I91" s="2">
        <v>22683.37</v>
      </c>
      <c r="J91" s="2">
        <v>2</v>
      </c>
      <c r="K91" s="2">
        <v>-666.66</v>
      </c>
      <c r="L91" s="2"/>
    </row>
    <row r="92" spans="1:12" x14ac:dyDescent="0.25">
      <c r="A92" s="2" t="s">
        <v>296</v>
      </c>
      <c r="B92" s="4" t="s">
        <v>297</v>
      </c>
      <c r="C92" s="2" t="str">
        <f t="shared" si="2"/>
        <v>Dec</v>
      </c>
      <c r="D92" s="2">
        <f t="shared" si="3"/>
        <v>2025</v>
      </c>
      <c r="E92" s="2" t="s">
        <v>298</v>
      </c>
      <c r="F92" s="2" t="s">
        <v>24</v>
      </c>
      <c r="G92" s="2" t="s">
        <v>54</v>
      </c>
      <c r="H92" s="2" t="s">
        <v>190</v>
      </c>
      <c r="I92" s="2">
        <v>21541.439999999999</v>
      </c>
      <c r="J92" s="2">
        <v>6</v>
      </c>
      <c r="K92" s="2">
        <v>2376.4699999999998</v>
      </c>
      <c r="L92" s="2"/>
    </row>
    <row r="93" spans="1:12" x14ac:dyDescent="0.25">
      <c r="A93" s="2" t="s">
        <v>299</v>
      </c>
      <c r="B93" s="4" t="s">
        <v>300</v>
      </c>
      <c r="C93" s="2" t="str">
        <f t="shared" si="2"/>
        <v>Oct</v>
      </c>
      <c r="D93" s="2">
        <f t="shared" si="3"/>
        <v>2025</v>
      </c>
      <c r="E93" s="2" t="s">
        <v>301</v>
      </c>
      <c r="F93" s="2" t="s">
        <v>24</v>
      </c>
      <c r="G93" s="2" t="s">
        <v>54</v>
      </c>
      <c r="H93" s="2" t="s">
        <v>190</v>
      </c>
      <c r="I93" s="2">
        <v>25748.67</v>
      </c>
      <c r="J93" s="2">
        <v>10</v>
      </c>
      <c r="K93" s="2">
        <v>1841.95</v>
      </c>
      <c r="L93" s="2"/>
    </row>
    <row r="94" spans="1:12" x14ac:dyDescent="0.25">
      <c r="A94" s="2" t="s">
        <v>302</v>
      </c>
      <c r="B94" s="4" t="s">
        <v>303</v>
      </c>
      <c r="C94" s="2" t="str">
        <f t="shared" si="2"/>
        <v>Apr</v>
      </c>
      <c r="D94" s="2">
        <f t="shared" si="3"/>
        <v>2025</v>
      </c>
      <c r="E94" s="2" t="s">
        <v>304</v>
      </c>
      <c r="F94" s="2" t="s">
        <v>34</v>
      </c>
      <c r="G94" s="2" t="s">
        <v>25</v>
      </c>
      <c r="H94" s="2" t="s">
        <v>26</v>
      </c>
      <c r="I94" s="2">
        <v>49619.96</v>
      </c>
      <c r="J94" s="2">
        <v>3</v>
      </c>
      <c r="K94" s="2">
        <v>13169.17</v>
      </c>
      <c r="L94" s="2"/>
    </row>
    <row r="95" spans="1:12" x14ac:dyDescent="0.25">
      <c r="A95" s="2" t="s">
        <v>305</v>
      </c>
      <c r="B95" s="4" t="s">
        <v>306</v>
      </c>
      <c r="C95" s="2" t="str">
        <f t="shared" si="2"/>
        <v>Nov</v>
      </c>
      <c r="D95" s="2">
        <f t="shared" si="3"/>
        <v>2025</v>
      </c>
      <c r="E95" s="2" t="s">
        <v>307</v>
      </c>
      <c r="F95" s="2" t="s">
        <v>42</v>
      </c>
      <c r="G95" s="2" t="s">
        <v>54</v>
      </c>
      <c r="H95" s="2" t="s">
        <v>55</v>
      </c>
      <c r="I95" s="2">
        <v>30759.39</v>
      </c>
      <c r="J95" s="2">
        <v>2</v>
      </c>
      <c r="K95" s="2">
        <v>3581.17</v>
      </c>
      <c r="L95" s="2"/>
    </row>
    <row r="96" spans="1:12" x14ac:dyDescent="0.25">
      <c r="A96" s="2" t="s">
        <v>308</v>
      </c>
      <c r="B96" s="4" t="s">
        <v>186</v>
      </c>
      <c r="C96" s="2" t="str">
        <f t="shared" si="2"/>
        <v>Feb</v>
      </c>
      <c r="D96" s="2">
        <f t="shared" si="3"/>
        <v>2025</v>
      </c>
      <c r="E96" s="2" t="s">
        <v>309</v>
      </c>
      <c r="F96" s="2" t="s">
        <v>12</v>
      </c>
      <c r="G96" s="2" t="s">
        <v>54</v>
      </c>
      <c r="H96" s="2" t="s">
        <v>138</v>
      </c>
      <c r="I96" s="2">
        <v>10006.65</v>
      </c>
      <c r="J96" s="2">
        <v>3</v>
      </c>
      <c r="K96" s="2">
        <v>223.31</v>
      </c>
      <c r="L96" s="2"/>
    </row>
    <row r="97" spans="1:12" x14ac:dyDescent="0.25">
      <c r="A97" s="2" t="s">
        <v>310</v>
      </c>
      <c r="B97" s="4" t="s">
        <v>311</v>
      </c>
      <c r="C97" s="2" t="str">
        <f t="shared" si="2"/>
        <v>Nov</v>
      </c>
      <c r="D97" s="2">
        <f t="shared" si="3"/>
        <v>2025</v>
      </c>
      <c r="E97" s="2" t="s">
        <v>312</v>
      </c>
      <c r="F97" s="2" t="s">
        <v>97</v>
      </c>
      <c r="G97" s="2" t="s">
        <v>25</v>
      </c>
      <c r="H97" s="2" t="s">
        <v>26</v>
      </c>
      <c r="I97" s="2">
        <v>19980.34</v>
      </c>
      <c r="J97" s="2">
        <v>1</v>
      </c>
      <c r="K97" s="2">
        <v>3640.19</v>
      </c>
      <c r="L97" s="2"/>
    </row>
    <row r="98" spans="1:12" x14ac:dyDescent="0.25">
      <c r="A98" s="2" t="s">
        <v>313</v>
      </c>
      <c r="B98" s="4" t="s">
        <v>314</v>
      </c>
      <c r="C98" s="2" t="str">
        <f t="shared" si="2"/>
        <v>May</v>
      </c>
      <c r="D98" s="2">
        <f t="shared" si="3"/>
        <v>2025</v>
      </c>
      <c r="E98" s="2" t="s">
        <v>315</v>
      </c>
      <c r="F98" s="2" t="s">
        <v>38</v>
      </c>
      <c r="G98" s="2" t="s">
        <v>54</v>
      </c>
      <c r="H98" s="2" t="s">
        <v>111</v>
      </c>
      <c r="I98" s="2">
        <v>28674.1</v>
      </c>
      <c r="J98" s="2">
        <v>3</v>
      </c>
      <c r="K98" s="2">
        <v>2.2400000000000002</v>
      </c>
      <c r="L98" s="2"/>
    </row>
    <row r="99" spans="1:12" x14ac:dyDescent="0.25">
      <c r="A99" s="2" t="s">
        <v>316</v>
      </c>
      <c r="B99" s="4" t="s">
        <v>317</v>
      </c>
      <c r="C99" s="2" t="str">
        <f t="shared" si="2"/>
        <v>Jul</v>
      </c>
      <c r="D99" s="2">
        <f t="shared" si="3"/>
        <v>2025</v>
      </c>
      <c r="E99" s="2" t="s">
        <v>318</v>
      </c>
      <c r="F99" s="2" t="s">
        <v>34</v>
      </c>
      <c r="G99" s="2" t="s">
        <v>54</v>
      </c>
      <c r="H99" s="2" t="s">
        <v>111</v>
      </c>
      <c r="I99" s="2">
        <v>27129.64</v>
      </c>
      <c r="J99" s="2">
        <v>2</v>
      </c>
      <c r="K99" s="2">
        <v>1714.65</v>
      </c>
      <c r="L99" s="2"/>
    </row>
    <row r="100" spans="1:12" x14ac:dyDescent="0.25">
      <c r="A100" s="2" t="s">
        <v>319</v>
      </c>
      <c r="B100" s="4" t="s">
        <v>320</v>
      </c>
      <c r="C100" s="2" t="str">
        <f t="shared" si="2"/>
        <v>Aug</v>
      </c>
      <c r="D100" s="2">
        <f t="shared" si="3"/>
        <v>2025</v>
      </c>
      <c r="E100" s="2" t="s">
        <v>321</v>
      </c>
      <c r="F100" s="2" t="s">
        <v>18</v>
      </c>
      <c r="G100" s="2" t="s">
        <v>19</v>
      </c>
      <c r="H100" s="2" t="s">
        <v>43</v>
      </c>
      <c r="I100" s="2">
        <v>7908.33</v>
      </c>
      <c r="J100" s="2">
        <v>10</v>
      </c>
      <c r="K100" s="2">
        <v>-310.14</v>
      </c>
      <c r="L100" s="2"/>
    </row>
    <row r="101" spans="1:12" x14ac:dyDescent="0.25">
      <c r="A101" s="2" t="s">
        <v>322</v>
      </c>
      <c r="B101" s="4" t="s">
        <v>323</v>
      </c>
      <c r="C101" s="2" t="str">
        <f t="shared" si="2"/>
        <v>Nov</v>
      </c>
      <c r="D101" s="2">
        <f t="shared" si="3"/>
        <v>2025</v>
      </c>
      <c r="E101" s="2" t="s">
        <v>324</v>
      </c>
      <c r="F101" s="2" t="s">
        <v>38</v>
      </c>
      <c r="G101" s="2" t="s">
        <v>54</v>
      </c>
      <c r="H101" s="2" t="s">
        <v>190</v>
      </c>
      <c r="I101" s="2">
        <v>18071.669999999998</v>
      </c>
      <c r="J101" s="2">
        <v>7</v>
      </c>
      <c r="K101" s="2">
        <v>3306.85</v>
      </c>
      <c r="L101" s="2"/>
    </row>
    <row r="102" spans="1:12" x14ac:dyDescent="0.25">
      <c r="A102" s="2" t="s">
        <v>325</v>
      </c>
      <c r="B102" s="4" t="s">
        <v>326</v>
      </c>
      <c r="C102" s="2" t="str">
        <f t="shared" si="2"/>
        <v>May</v>
      </c>
      <c r="D102" s="2">
        <f t="shared" si="3"/>
        <v>2025</v>
      </c>
      <c r="E102" s="2" t="s">
        <v>327</v>
      </c>
      <c r="F102" s="2" t="s">
        <v>34</v>
      </c>
      <c r="G102" s="2" t="s">
        <v>13</v>
      </c>
      <c r="H102" s="2" t="s">
        <v>14</v>
      </c>
      <c r="I102" s="2">
        <v>32593.61</v>
      </c>
      <c r="J102" s="2">
        <v>6</v>
      </c>
      <c r="K102" s="2">
        <v>-1545.76</v>
      </c>
      <c r="L102" s="2"/>
    </row>
    <row r="103" spans="1:12" x14ac:dyDescent="0.25">
      <c r="A103" s="2" t="s">
        <v>328</v>
      </c>
      <c r="B103" s="4" t="s">
        <v>329</v>
      </c>
      <c r="C103" s="2" t="str">
        <f t="shared" si="2"/>
        <v>Jul</v>
      </c>
      <c r="D103" s="2">
        <f t="shared" si="3"/>
        <v>2025</v>
      </c>
      <c r="E103" s="2" t="s">
        <v>330</v>
      </c>
      <c r="F103" s="2" t="s">
        <v>24</v>
      </c>
      <c r="G103" s="2" t="s">
        <v>54</v>
      </c>
      <c r="H103" s="2" t="s">
        <v>55</v>
      </c>
      <c r="I103" s="2">
        <v>25743.09</v>
      </c>
      <c r="J103" s="2">
        <v>10</v>
      </c>
      <c r="K103" s="2">
        <v>771.07</v>
      </c>
      <c r="L103" s="2"/>
    </row>
    <row r="104" spans="1:12" x14ac:dyDescent="0.25">
      <c r="A104" s="2" t="s">
        <v>331</v>
      </c>
      <c r="B104" s="4" t="s">
        <v>129</v>
      </c>
      <c r="C104" s="2" t="str">
        <f t="shared" si="2"/>
        <v>Dec</v>
      </c>
      <c r="D104" s="2">
        <f t="shared" si="3"/>
        <v>2025</v>
      </c>
      <c r="E104" s="2" t="s">
        <v>332</v>
      </c>
      <c r="F104" s="2" t="s">
        <v>97</v>
      </c>
      <c r="G104" s="2" t="s">
        <v>25</v>
      </c>
      <c r="H104" s="2" t="s">
        <v>169</v>
      </c>
      <c r="I104" s="2">
        <v>11540.43</v>
      </c>
      <c r="J104" s="2">
        <v>1</v>
      </c>
      <c r="K104" s="2">
        <v>1752.63</v>
      </c>
      <c r="L104" s="2"/>
    </row>
    <row r="105" spans="1:12" x14ac:dyDescent="0.25">
      <c r="A105" s="2" t="s">
        <v>333</v>
      </c>
      <c r="B105" s="4" t="s">
        <v>334</v>
      </c>
      <c r="C105" s="2" t="str">
        <f t="shared" si="2"/>
        <v>Oct</v>
      </c>
      <c r="D105" s="2">
        <f t="shared" si="3"/>
        <v>2025</v>
      </c>
      <c r="E105" s="2" t="s">
        <v>335</v>
      </c>
      <c r="F105" s="2" t="s">
        <v>38</v>
      </c>
      <c r="G105" s="2" t="s">
        <v>13</v>
      </c>
      <c r="H105" s="2" t="s">
        <v>14</v>
      </c>
      <c r="I105" s="2">
        <v>49672.02</v>
      </c>
      <c r="J105" s="2">
        <v>8</v>
      </c>
      <c r="K105" s="2">
        <v>4059.47</v>
      </c>
      <c r="L105" s="2"/>
    </row>
    <row r="106" spans="1:12" x14ac:dyDescent="0.25">
      <c r="A106" s="2" t="s">
        <v>336</v>
      </c>
      <c r="B106" s="4" t="s">
        <v>337</v>
      </c>
      <c r="C106" s="2" t="str">
        <f t="shared" si="2"/>
        <v>May</v>
      </c>
      <c r="D106" s="2">
        <f t="shared" si="3"/>
        <v>2025</v>
      </c>
      <c r="E106" s="2" t="s">
        <v>338</v>
      </c>
      <c r="F106" s="2" t="s">
        <v>38</v>
      </c>
      <c r="G106" s="2" t="s">
        <v>19</v>
      </c>
      <c r="H106" s="2" t="s">
        <v>43</v>
      </c>
      <c r="I106" s="2">
        <v>43877.47</v>
      </c>
      <c r="J106" s="2">
        <v>6</v>
      </c>
      <c r="K106" s="2">
        <v>2572.1999999999998</v>
      </c>
      <c r="L106" s="2"/>
    </row>
    <row r="107" spans="1:12" x14ac:dyDescent="0.25">
      <c r="A107" s="2" t="s">
        <v>339</v>
      </c>
      <c r="B107" s="4" t="s">
        <v>340</v>
      </c>
      <c r="C107" s="2" t="str">
        <f t="shared" si="2"/>
        <v>Mar</v>
      </c>
      <c r="D107" s="2">
        <f t="shared" si="3"/>
        <v>2025</v>
      </c>
      <c r="E107" s="2" t="s">
        <v>341</v>
      </c>
      <c r="F107" s="2" t="s">
        <v>97</v>
      </c>
      <c r="G107" s="2" t="s">
        <v>25</v>
      </c>
      <c r="H107" s="2" t="s">
        <v>154</v>
      </c>
      <c r="I107" s="2">
        <v>42000.51</v>
      </c>
      <c r="J107" s="2">
        <v>6</v>
      </c>
      <c r="K107" s="2">
        <v>9732.2199999999993</v>
      </c>
      <c r="L107" s="2"/>
    </row>
    <row r="108" spans="1:12" x14ac:dyDescent="0.25">
      <c r="A108" s="2" t="s">
        <v>342</v>
      </c>
      <c r="B108" s="4" t="s">
        <v>10</v>
      </c>
      <c r="C108" s="2" t="str">
        <f t="shared" si="2"/>
        <v>Jun</v>
      </c>
      <c r="D108" s="2">
        <f t="shared" si="3"/>
        <v>2025</v>
      </c>
      <c r="E108" s="2" t="s">
        <v>343</v>
      </c>
      <c r="F108" s="2" t="s">
        <v>97</v>
      </c>
      <c r="G108" s="2" t="s">
        <v>25</v>
      </c>
      <c r="H108" s="2" t="s">
        <v>47</v>
      </c>
      <c r="I108" s="2">
        <v>39072.949999999997</v>
      </c>
      <c r="J108" s="2">
        <v>5</v>
      </c>
      <c r="K108" s="2">
        <v>597.62</v>
      </c>
      <c r="L108" s="2"/>
    </row>
    <row r="109" spans="1:12" x14ac:dyDescent="0.25">
      <c r="A109" s="2" t="s">
        <v>344</v>
      </c>
      <c r="B109" s="4" t="s">
        <v>198</v>
      </c>
      <c r="C109" s="2" t="str">
        <f t="shared" si="2"/>
        <v>Aug</v>
      </c>
      <c r="D109" s="2">
        <f t="shared" si="3"/>
        <v>2025</v>
      </c>
      <c r="E109" s="2" t="s">
        <v>345</v>
      </c>
      <c r="F109" s="2" t="s">
        <v>18</v>
      </c>
      <c r="G109" s="2" t="s">
        <v>13</v>
      </c>
      <c r="H109" s="2" t="s">
        <v>73</v>
      </c>
      <c r="I109" s="2">
        <v>25904.12</v>
      </c>
      <c r="J109" s="2">
        <v>6</v>
      </c>
      <c r="K109" s="2">
        <v>6962.93</v>
      </c>
      <c r="L109" s="2"/>
    </row>
    <row r="110" spans="1:12" x14ac:dyDescent="0.25">
      <c r="A110" s="2" t="s">
        <v>346</v>
      </c>
      <c r="B110" s="4" t="s">
        <v>347</v>
      </c>
      <c r="C110" s="2" t="str">
        <f t="shared" si="2"/>
        <v>Apr</v>
      </c>
      <c r="D110" s="2">
        <f t="shared" si="3"/>
        <v>2025</v>
      </c>
      <c r="E110" s="2" t="s">
        <v>348</v>
      </c>
      <c r="F110" s="2" t="s">
        <v>12</v>
      </c>
      <c r="G110" s="2" t="s">
        <v>19</v>
      </c>
      <c r="H110" s="2" t="s">
        <v>63</v>
      </c>
      <c r="I110" s="2">
        <v>13102.17</v>
      </c>
      <c r="J110" s="2">
        <v>6</v>
      </c>
      <c r="K110" s="2">
        <v>2644.73</v>
      </c>
      <c r="L110" s="2"/>
    </row>
    <row r="111" spans="1:12" x14ac:dyDescent="0.25">
      <c r="A111" s="2" t="s">
        <v>349</v>
      </c>
      <c r="B111" s="4" t="s">
        <v>350</v>
      </c>
      <c r="C111" s="2" t="str">
        <f t="shared" si="2"/>
        <v>Mar</v>
      </c>
      <c r="D111" s="2">
        <f t="shared" si="3"/>
        <v>2025</v>
      </c>
      <c r="E111" s="2" t="s">
        <v>351</v>
      </c>
      <c r="F111" s="2" t="s">
        <v>12</v>
      </c>
      <c r="G111" s="2" t="s">
        <v>19</v>
      </c>
      <c r="H111" s="2" t="s">
        <v>20</v>
      </c>
      <c r="I111" s="2">
        <v>9153.7900000000009</v>
      </c>
      <c r="J111" s="2">
        <v>7</v>
      </c>
      <c r="K111" s="2">
        <v>824.95</v>
      </c>
      <c r="L111" s="2"/>
    </row>
    <row r="112" spans="1:12" x14ac:dyDescent="0.25">
      <c r="A112" s="2" t="s">
        <v>352</v>
      </c>
      <c r="B112" s="4" t="s">
        <v>353</v>
      </c>
      <c r="C112" s="2" t="str">
        <f t="shared" si="2"/>
        <v>Apr</v>
      </c>
      <c r="D112" s="2">
        <f t="shared" si="3"/>
        <v>2025</v>
      </c>
      <c r="E112" s="2" t="s">
        <v>354</v>
      </c>
      <c r="F112" s="2" t="s">
        <v>34</v>
      </c>
      <c r="G112" s="2" t="s">
        <v>54</v>
      </c>
      <c r="H112" s="2" t="s">
        <v>55</v>
      </c>
      <c r="I112" s="2">
        <v>7925.55</v>
      </c>
      <c r="J112" s="2">
        <v>10</v>
      </c>
      <c r="K112" s="2">
        <v>-49.17</v>
      </c>
      <c r="L112" s="2"/>
    </row>
    <row r="113" spans="1:12" x14ac:dyDescent="0.25">
      <c r="A113" s="2" t="s">
        <v>355</v>
      </c>
      <c r="B113" s="4" t="s">
        <v>356</v>
      </c>
      <c r="C113" s="2" t="str">
        <f t="shared" si="2"/>
        <v>Aug</v>
      </c>
      <c r="D113" s="2">
        <f t="shared" si="3"/>
        <v>2025</v>
      </c>
      <c r="E113" s="2" t="s">
        <v>357</v>
      </c>
      <c r="F113" s="2" t="s">
        <v>97</v>
      </c>
      <c r="G113" s="2" t="s">
        <v>13</v>
      </c>
      <c r="H113" s="2" t="s">
        <v>30</v>
      </c>
      <c r="I113" s="2">
        <v>36808.49</v>
      </c>
      <c r="J113" s="2">
        <v>1</v>
      </c>
      <c r="K113" s="2">
        <v>4749.6899999999996</v>
      </c>
      <c r="L113" s="2"/>
    </row>
    <row r="114" spans="1:12" x14ac:dyDescent="0.25">
      <c r="A114" s="2" t="s">
        <v>358</v>
      </c>
      <c r="B114" s="4" t="s">
        <v>350</v>
      </c>
      <c r="C114" s="2" t="str">
        <f t="shared" si="2"/>
        <v>Mar</v>
      </c>
      <c r="D114" s="2">
        <f t="shared" si="3"/>
        <v>2025</v>
      </c>
      <c r="E114" s="2" t="s">
        <v>359</v>
      </c>
      <c r="F114" s="2" t="s">
        <v>18</v>
      </c>
      <c r="G114" s="2" t="s">
        <v>25</v>
      </c>
      <c r="H114" s="2" t="s">
        <v>47</v>
      </c>
      <c r="I114" s="2">
        <v>19509.52</v>
      </c>
      <c r="J114" s="2">
        <v>8</v>
      </c>
      <c r="K114" s="2">
        <v>1391.7</v>
      </c>
      <c r="L114" s="2"/>
    </row>
    <row r="115" spans="1:12" x14ac:dyDescent="0.25">
      <c r="A115" s="2" t="s">
        <v>360</v>
      </c>
      <c r="B115" s="4" t="s">
        <v>361</v>
      </c>
      <c r="C115" s="2" t="str">
        <f t="shared" si="2"/>
        <v>Dec</v>
      </c>
      <c r="D115" s="2">
        <f t="shared" si="3"/>
        <v>2025</v>
      </c>
      <c r="E115" s="2" t="s">
        <v>362</v>
      </c>
      <c r="F115" s="2" t="s">
        <v>38</v>
      </c>
      <c r="G115" s="2" t="s">
        <v>25</v>
      </c>
      <c r="H115" s="2" t="s">
        <v>26</v>
      </c>
      <c r="I115" s="2">
        <v>39167.53</v>
      </c>
      <c r="J115" s="2">
        <v>9</v>
      </c>
      <c r="K115" s="2">
        <v>184.92</v>
      </c>
      <c r="L115" s="2"/>
    </row>
    <row r="116" spans="1:12" x14ac:dyDescent="0.25">
      <c r="A116" s="2" t="s">
        <v>363</v>
      </c>
      <c r="B116" s="4" t="s">
        <v>232</v>
      </c>
      <c r="C116" s="2" t="str">
        <f t="shared" si="2"/>
        <v>Mar</v>
      </c>
      <c r="D116" s="2">
        <f t="shared" si="3"/>
        <v>2025</v>
      </c>
      <c r="E116" s="2" t="s">
        <v>364</v>
      </c>
      <c r="F116" s="2" t="s">
        <v>34</v>
      </c>
      <c r="G116" s="2" t="s">
        <v>25</v>
      </c>
      <c r="H116" s="2" t="s">
        <v>365</v>
      </c>
      <c r="I116" s="2">
        <v>26714.76</v>
      </c>
      <c r="J116" s="2">
        <v>5</v>
      </c>
      <c r="K116" s="2">
        <v>5166.43</v>
      </c>
      <c r="L116" s="2"/>
    </row>
    <row r="117" spans="1:12" x14ac:dyDescent="0.25">
      <c r="A117" s="2" t="s">
        <v>366</v>
      </c>
      <c r="B117" s="4" t="s">
        <v>367</v>
      </c>
      <c r="C117" s="2" t="str">
        <f t="shared" si="2"/>
        <v>Apr</v>
      </c>
      <c r="D117" s="2">
        <f t="shared" si="3"/>
        <v>2025</v>
      </c>
      <c r="E117" s="2" t="s">
        <v>368</v>
      </c>
      <c r="F117" s="2" t="s">
        <v>12</v>
      </c>
      <c r="G117" s="2" t="s">
        <v>13</v>
      </c>
      <c r="H117" s="2" t="s">
        <v>77</v>
      </c>
      <c r="I117" s="2">
        <v>20249.990000000002</v>
      </c>
      <c r="J117" s="2">
        <v>8</v>
      </c>
      <c r="K117" s="2">
        <v>5354.63</v>
      </c>
      <c r="L117" s="2"/>
    </row>
    <row r="118" spans="1:12" x14ac:dyDescent="0.25">
      <c r="A118" s="2" t="s">
        <v>369</v>
      </c>
      <c r="B118" s="4" t="s">
        <v>132</v>
      </c>
      <c r="C118" s="2" t="str">
        <f t="shared" si="2"/>
        <v>Nov</v>
      </c>
      <c r="D118" s="2">
        <f t="shared" si="3"/>
        <v>2025</v>
      </c>
      <c r="E118" s="2" t="s">
        <v>370</v>
      </c>
      <c r="F118" s="2" t="s">
        <v>12</v>
      </c>
      <c r="G118" s="2" t="s">
        <v>19</v>
      </c>
      <c r="H118" s="2" t="s">
        <v>59</v>
      </c>
      <c r="I118" s="2">
        <v>24628.04</v>
      </c>
      <c r="J118" s="2">
        <v>2</v>
      </c>
      <c r="K118" s="2">
        <v>4234.99</v>
      </c>
      <c r="L118" s="2"/>
    </row>
    <row r="119" spans="1:12" x14ac:dyDescent="0.25">
      <c r="A119" s="2" t="s">
        <v>371</v>
      </c>
      <c r="B119" s="4" t="s">
        <v>372</v>
      </c>
      <c r="C119" s="2" t="str">
        <f t="shared" si="2"/>
        <v>Jun</v>
      </c>
      <c r="D119" s="2">
        <f t="shared" si="3"/>
        <v>2025</v>
      </c>
      <c r="E119" s="2" t="s">
        <v>373</v>
      </c>
      <c r="F119" s="2" t="s">
        <v>34</v>
      </c>
      <c r="G119" s="2" t="s">
        <v>25</v>
      </c>
      <c r="H119" s="2" t="s">
        <v>26</v>
      </c>
      <c r="I119" s="2">
        <v>45864.69</v>
      </c>
      <c r="J119" s="2">
        <v>9</v>
      </c>
      <c r="K119" s="2">
        <v>10025.81</v>
      </c>
      <c r="L119" s="2"/>
    </row>
    <row r="120" spans="1:12" x14ac:dyDescent="0.25">
      <c r="A120" s="2" t="s">
        <v>374</v>
      </c>
      <c r="B120" s="4" t="s">
        <v>375</v>
      </c>
      <c r="C120" s="2" t="str">
        <f t="shared" si="2"/>
        <v>Oct</v>
      </c>
      <c r="D120" s="2">
        <f t="shared" si="3"/>
        <v>2025</v>
      </c>
      <c r="E120" s="2" t="s">
        <v>376</v>
      </c>
      <c r="F120" s="2" t="s">
        <v>97</v>
      </c>
      <c r="G120" s="2" t="s">
        <v>13</v>
      </c>
      <c r="H120" s="2" t="s">
        <v>77</v>
      </c>
      <c r="I120" s="2">
        <v>37335.620000000003</v>
      </c>
      <c r="J120" s="2">
        <v>2</v>
      </c>
      <c r="K120" s="2">
        <v>841.78</v>
      </c>
      <c r="L120" s="2"/>
    </row>
    <row r="121" spans="1:12" x14ac:dyDescent="0.25">
      <c r="A121" s="2" t="s">
        <v>377</v>
      </c>
      <c r="B121" s="4" t="s">
        <v>378</v>
      </c>
      <c r="C121" s="2" t="str">
        <f t="shared" si="2"/>
        <v>Sep</v>
      </c>
      <c r="D121" s="2">
        <f t="shared" si="3"/>
        <v>2025</v>
      </c>
      <c r="E121" s="2" t="s">
        <v>379</v>
      </c>
      <c r="F121" s="2" t="s">
        <v>34</v>
      </c>
      <c r="G121" s="2" t="s">
        <v>19</v>
      </c>
      <c r="H121" s="2" t="s">
        <v>59</v>
      </c>
      <c r="I121" s="2">
        <v>9096.5400000000009</v>
      </c>
      <c r="J121" s="2">
        <v>8</v>
      </c>
      <c r="K121" s="2">
        <v>922.01</v>
      </c>
      <c r="L121" s="2"/>
    </row>
    <row r="122" spans="1:12" x14ac:dyDescent="0.25">
      <c r="A122" s="2" t="s">
        <v>380</v>
      </c>
      <c r="B122" s="4" t="s">
        <v>381</v>
      </c>
      <c r="C122" s="2" t="str">
        <f t="shared" si="2"/>
        <v>Dec</v>
      </c>
      <c r="D122" s="2">
        <f t="shared" si="3"/>
        <v>2025</v>
      </c>
      <c r="E122" s="2" t="s">
        <v>382</v>
      </c>
      <c r="F122" s="2" t="s">
        <v>34</v>
      </c>
      <c r="G122" s="2" t="s">
        <v>54</v>
      </c>
      <c r="H122" s="2" t="s">
        <v>138</v>
      </c>
      <c r="I122" s="2">
        <v>46373.21</v>
      </c>
      <c r="J122" s="2">
        <v>1</v>
      </c>
      <c r="K122" s="2">
        <v>6101.86</v>
      </c>
      <c r="L122" s="2"/>
    </row>
    <row r="123" spans="1:12" x14ac:dyDescent="0.25">
      <c r="A123" s="2" t="s">
        <v>383</v>
      </c>
      <c r="B123" s="4" t="s">
        <v>32</v>
      </c>
      <c r="C123" s="2" t="str">
        <f t="shared" si="2"/>
        <v>May</v>
      </c>
      <c r="D123" s="2">
        <f t="shared" si="3"/>
        <v>2025</v>
      </c>
      <c r="E123" s="2" t="s">
        <v>384</v>
      </c>
      <c r="F123" s="2" t="s">
        <v>97</v>
      </c>
      <c r="G123" s="2" t="s">
        <v>13</v>
      </c>
      <c r="H123" s="2" t="s">
        <v>121</v>
      </c>
      <c r="I123" s="2">
        <v>5052.47</v>
      </c>
      <c r="J123" s="2">
        <v>9</v>
      </c>
      <c r="K123" s="2">
        <v>1293.26</v>
      </c>
      <c r="L123" s="2"/>
    </row>
    <row r="124" spans="1:12" x14ac:dyDescent="0.25">
      <c r="A124" s="2" t="s">
        <v>385</v>
      </c>
      <c r="B124" s="4" t="s">
        <v>386</v>
      </c>
      <c r="C124" s="2" t="str">
        <f t="shared" si="2"/>
        <v>Sep</v>
      </c>
      <c r="D124" s="2">
        <f t="shared" si="3"/>
        <v>2025</v>
      </c>
      <c r="E124" s="2" t="s">
        <v>387</v>
      </c>
      <c r="F124" s="2" t="s">
        <v>38</v>
      </c>
      <c r="G124" s="2" t="s">
        <v>54</v>
      </c>
      <c r="H124" s="2" t="s">
        <v>55</v>
      </c>
      <c r="I124" s="2">
        <v>1514.99</v>
      </c>
      <c r="J124" s="2">
        <v>4</v>
      </c>
      <c r="K124" s="2">
        <v>242.32</v>
      </c>
      <c r="L124" s="2"/>
    </row>
    <row r="125" spans="1:12" x14ac:dyDescent="0.25">
      <c r="A125" s="2" t="s">
        <v>388</v>
      </c>
      <c r="B125" s="4" t="s">
        <v>389</v>
      </c>
      <c r="C125" s="2" t="str">
        <f t="shared" si="2"/>
        <v>Sep</v>
      </c>
      <c r="D125" s="2">
        <f t="shared" si="3"/>
        <v>2025</v>
      </c>
      <c r="E125" s="2" t="s">
        <v>390</v>
      </c>
      <c r="F125" s="2" t="s">
        <v>24</v>
      </c>
      <c r="G125" s="2" t="s">
        <v>19</v>
      </c>
      <c r="H125" s="2" t="s">
        <v>43</v>
      </c>
      <c r="I125" s="2">
        <v>49299.34</v>
      </c>
      <c r="J125" s="2">
        <v>1</v>
      </c>
      <c r="K125" s="2">
        <v>3438.84</v>
      </c>
      <c r="L125" s="2"/>
    </row>
    <row r="126" spans="1:12" x14ac:dyDescent="0.25">
      <c r="A126" s="2" t="s">
        <v>391</v>
      </c>
      <c r="B126" s="4" t="s">
        <v>198</v>
      </c>
      <c r="C126" s="2" t="str">
        <f t="shared" si="2"/>
        <v>Aug</v>
      </c>
      <c r="D126" s="2">
        <f t="shared" si="3"/>
        <v>2025</v>
      </c>
      <c r="E126" s="2" t="s">
        <v>392</v>
      </c>
      <c r="F126" s="2" t="s">
        <v>18</v>
      </c>
      <c r="G126" s="2" t="s">
        <v>54</v>
      </c>
      <c r="H126" s="2" t="s">
        <v>190</v>
      </c>
      <c r="I126" s="2">
        <v>49083.67</v>
      </c>
      <c r="J126" s="2">
        <v>4</v>
      </c>
      <c r="K126" s="2">
        <v>2282.23</v>
      </c>
      <c r="L126" s="2"/>
    </row>
    <row r="127" spans="1:12" x14ac:dyDescent="0.25">
      <c r="A127" s="2" t="s">
        <v>393</v>
      </c>
      <c r="B127" s="4" t="s">
        <v>394</v>
      </c>
      <c r="C127" s="2" t="str">
        <f t="shared" si="2"/>
        <v>Jan</v>
      </c>
      <c r="D127" s="2">
        <f t="shared" si="3"/>
        <v>2025</v>
      </c>
      <c r="E127" s="2" t="s">
        <v>395</v>
      </c>
      <c r="F127" s="2" t="s">
        <v>42</v>
      </c>
      <c r="G127" s="2" t="s">
        <v>54</v>
      </c>
      <c r="H127" s="2" t="s">
        <v>190</v>
      </c>
      <c r="I127" s="2">
        <v>32234.16</v>
      </c>
      <c r="J127" s="2">
        <v>9</v>
      </c>
      <c r="K127" s="2">
        <v>3061</v>
      </c>
      <c r="L127" s="2"/>
    </row>
    <row r="128" spans="1:12" x14ac:dyDescent="0.25">
      <c r="A128" s="2" t="s">
        <v>396</v>
      </c>
      <c r="B128" s="4" t="s">
        <v>397</v>
      </c>
      <c r="C128" s="2" t="str">
        <f t="shared" si="2"/>
        <v>Dec</v>
      </c>
      <c r="D128" s="2">
        <f t="shared" si="3"/>
        <v>2025</v>
      </c>
      <c r="E128" s="2" t="s">
        <v>398</v>
      </c>
      <c r="F128" s="2" t="s">
        <v>38</v>
      </c>
      <c r="G128" s="2" t="s">
        <v>25</v>
      </c>
      <c r="H128" s="2" t="s">
        <v>154</v>
      </c>
      <c r="I128" s="2">
        <v>33861.629999999997</v>
      </c>
      <c r="J128" s="2">
        <v>7</v>
      </c>
      <c r="K128" s="2">
        <v>2155.25</v>
      </c>
      <c r="L128" s="2"/>
    </row>
    <row r="129" spans="1:12" x14ac:dyDescent="0.25">
      <c r="A129" s="2" t="s">
        <v>399</v>
      </c>
      <c r="B129" s="4" t="s">
        <v>400</v>
      </c>
      <c r="C129" s="2" t="str">
        <f t="shared" si="2"/>
        <v>Feb</v>
      </c>
      <c r="D129" s="2">
        <f t="shared" si="3"/>
        <v>2025</v>
      </c>
      <c r="E129" s="2" t="s">
        <v>401</v>
      </c>
      <c r="F129" s="2" t="s">
        <v>97</v>
      </c>
      <c r="G129" s="2" t="s">
        <v>54</v>
      </c>
      <c r="H129" s="2" t="s">
        <v>84</v>
      </c>
      <c r="I129" s="2">
        <v>17877.259999999998</v>
      </c>
      <c r="J129" s="2">
        <v>9</v>
      </c>
      <c r="K129" s="2">
        <v>2244.6</v>
      </c>
      <c r="L129" s="2"/>
    </row>
    <row r="130" spans="1:12" x14ac:dyDescent="0.25">
      <c r="A130" s="2" t="s">
        <v>402</v>
      </c>
      <c r="B130" s="4" t="s">
        <v>237</v>
      </c>
      <c r="C130" s="2" t="str">
        <f t="shared" si="2"/>
        <v>May</v>
      </c>
      <c r="D130" s="2">
        <f t="shared" si="3"/>
        <v>2025</v>
      </c>
      <c r="E130" s="2" t="s">
        <v>403</v>
      </c>
      <c r="F130" s="2" t="s">
        <v>34</v>
      </c>
      <c r="G130" s="2" t="s">
        <v>19</v>
      </c>
      <c r="H130" s="2" t="s">
        <v>101</v>
      </c>
      <c r="I130" s="2">
        <v>25405.58</v>
      </c>
      <c r="J130" s="2">
        <v>2</v>
      </c>
      <c r="K130" s="2">
        <v>1692.18</v>
      </c>
      <c r="L130" s="2"/>
    </row>
    <row r="131" spans="1:12" x14ac:dyDescent="0.25">
      <c r="A131" s="2" t="s">
        <v>404</v>
      </c>
      <c r="B131" s="4" t="s">
        <v>405</v>
      </c>
      <c r="C131" s="2" t="str">
        <f t="shared" ref="C131:C194" si="4">TEXT(B131, "mmm")</f>
        <v>Mar</v>
      </c>
      <c r="D131" s="2">
        <f t="shared" ref="D131:D194" si="5">YEAR(B131)</f>
        <v>2025</v>
      </c>
      <c r="E131" s="2" t="s">
        <v>406</v>
      </c>
      <c r="F131" s="2" t="s">
        <v>12</v>
      </c>
      <c r="G131" s="2" t="s">
        <v>25</v>
      </c>
      <c r="H131" s="2" t="s">
        <v>169</v>
      </c>
      <c r="I131" s="2">
        <v>14280.85</v>
      </c>
      <c r="J131" s="2">
        <v>4</v>
      </c>
      <c r="K131" s="2">
        <v>3688.54</v>
      </c>
      <c r="L131" s="2"/>
    </row>
    <row r="132" spans="1:12" x14ac:dyDescent="0.25">
      <c r="A132" s="2" t="s">
        <v>407</v>
      </c>
      <c r="B132" s="4" t="s">
        <v>408</v>
      </c>
      <c r="C132" s="2" t="str">
        <f t="shared" si="4"/>
        <v>Jun</v>
      </c>
      <c r="D132" s="2">
        <f t="shared" si="5"/>
        <v>2025</v>
      </c>
      <c r="E132" s="2" t="s">
        <v>409</v>
      </c>
      <c r="F132" s="2" t="s">
        <v>12</v>
      </c>
      <c r="G132" s="2" t="s">
        <v>19</v>
      </c>
      <c r="H132" s="2" t="s">
        <v>59</v>
      </c>
      <c r="I132" s="2">
        <v>23032.32</v>
      </c>
      <c r="J132" s="2">
        <v>10</v>
      </c>
      <c r="K132" s="2">
        <v>2734.5</v>
      </c>
      <c r="L132" s="2"/>
    </row>
    <row r="133" spans="1:12" x14ac:dyDescent="0.25">
      <c r="A133" s="2" t="s">
        <v>410</v>
      </c>
      <c r="B133" s="4" t="s">
        <v>411</v>
      </c>
      <c r="C133" s="2" t="str">
        <f t="shared" si="4"/>
        <v>Oct</v>
      </c>
      <c r="D133" s="2">
        <f t="shared" si="5"/>
        <v>2025</v>
      </c>
      <c r="E133" s="2" t="s">
        <v>412</v>
      </c>
      <c r="F133" s="2" t="s">
        <v>97</v>
      </c>
      <c r="G133" s="2" t="s">
        <v>13</v>
      </c>
      <c r="H133" s="2" t="s">
        <v>30</v>
      </c>
      <c r="I133" s="2">
        <v>15856.54</v>
      </c>
      <c r="J133" s="2">
        <v>4</v>
      </c>
      <c r="K133" s="2">
        <v>4100.6000000000004</v>
      </c>
      <c r="L133" s="2"/>
    </row>
    <row r="134" spans="1:12" x14ac:dyDescent="0.25">
      <c r="A134" s="2" t="s">
        <v>413</v>
      </c>
      <c r="B134" s="4" t="s">
        <v>414</v>
      </c>
      <c r="C134" s="2" t="str">
        <f t="shared" si="4"/>
        <v>Jul</v>
      </c>
      <c r="D134" s="2">
        <f t="shared" si="5"/>
        <v>2025</v>
      </c>
      <c r="E134" s="2" t="s">
        <v>415</v>
      </c>
      <c r="F134" s="2" t="s">
        <v>18</v>
      </c>
      <c r="G134" s="2" t="s">
        <v>25</v>
      </c>
      <c r="H134" s="2" t="s">
        <v>26</v>
      </c>
      <c r="I134" s="2">
        <v>8886.99</v>
      </c>
      <c r="J134" s="2">
        <v>8</v>
      </c>
      <c r="K134" s="2">
        <v>-310.14999999999998</v>
      </c>
      <c r="L134" s="2"/>
    </row>
    <row r="135" spans="1:12" x14ac:dyDescent="0.25">
      <c r="A135" s="2" t="s">
        <v>416</v>
      </c>
      <c r="B135" s="4" t="s">
        <v>417</v>
      </c>
      <c r="C135" s="2" t="str">
        <f t="shared" si="4"/>
        <v>Jul</v>
      </c>
      <c r="D135" s="2">
        <f t="shared" si="5"/>
        <v>2025</v>
      </c>
      <c r="E135" s="2" t="s">
        <v>418</v>
      </c>
      <c r="F135" s="2" t="s">
        <v>24</v>
      </c>
      <c r="G135" s="2" t="s">
        <v>19</v>
      </c>
      <c r="H135" s="2" t="s">
        <v>63</v>
      </c>
      <c r="I135" s="2">
        <v>35310.080000000002</v>
      </c>
      <c r="J135" s="2">
        <v>9</v>
      </c>
      <c r="K135" s="2">
        <v>9047.2000000000007</v>
      </c>
      <c r="L135" s="2"/>
    </row>
    <row r="136" spans="1:12" x14ac:dyDescent="0.25">
      <c r="A136" s="2" t="s">
        <v>419</v>
      </c>
      <c r="B136" s="4" t="s">
        <v>103</v>
      </c>
      <c r="C136" s="2" t="str">
        <f t="shared" si="4"/>
        <v>Aug</v>
      </c>
      <c r="D136" s="2">
        <f t="shared" si="5"/>
        <v>2025</v>
      </c>
      <c r="E136" s="2" t="s">
        <v>420</v>
      </c>
      <c r="F136" s="2" t="s">
        <v>12</v>
      </c>
      <c r="G136" s="2" t="s">
        <v>19</v>
      </c>
      <c r="H136" s="2" t="s">
        <v>63</v>
      </c>
      <c r="I136" s="2">
        <v>5374.88</v>
      </c>
      <c r="J136" s="2">
        <v>10</v>
      </c>
      <c r="K136" s="2">
        <v>-136.21</v>
      </c>
      <c r="L136" s="2"/>
    </row>
    <row r="137" spans="1:12" x14ac:dyDescent="0.25">
      <c r="A137" s="2" t="s">
        <v>421</v>
      </c>
      <c r="B137" s="4" t="s">
        <v>422</v>
      </c>
      <c r="C137" s="2" t="str">
        <f t="shared" si="4"/>
        <v>Dec</v>
      </c>
      <c r="D137" s="2">
        <f t="shared" si="5"/>
        <v>2025</v>
      </c>
      <c r="E137" s="2" t="s">
        <v>423</v>
      </c>
      <c r="F137" s="2" t="s">
        <v>12</v>
      </c>
      <c r="G137" s="2" t="s">
        <v>54</v>
      </c>
      <c r="H137" s="2" t="s">
        <v>138</v>
      </c>
      <c r="I137" s="2">
        <v>1914.38</v>
      </c>
      <c r="J137" s="2">
        <v>10</v>
      </c>
      <c r="K137" s="2">
        <v>291.43</v>
      </c>
      <c r="L137" s="2"/>
    </row>
    <row r="138" spans="1:12" x14ac:dyDescent="0.25">
      <c r="A138" s="2" t="s">
        <v>424</v>
      </c>
      <c r="B138" s="4" t="s">
        <v>425</v>
      </c>
      <c r="C138" s="2" t="str">
        <f t="shared" si="4"/>
        <v>Aug</v>
      </c>
      <c r="D138" s="2">
        <f t="shared" si="5"/>
        <v>2025</v>
      </c>
      <c r="E138" s="2" t="s">
        <v>426</v>
      </c>
      <c r="F138" s="2" t="s">
        <v>18</v>
      </c>
      <c r="G138" s="2" t="s">
        <v>54</v>
      </c>
      <c r="H138" s="2" t="s">
        <v>55</v>
      </c>
      <c r="I138" s="2">
        <v>44517.83</v>
      </c>
      <c r="J138" s="2">
        <v>5</v>
      </c>
      <c r="K138" s="2">
        <v>4339.82</v>
      </c>
      <c r="L138" s="2"/>
    </row>
    <row r="139" spans="1:12" x14ac:dyDescent="0.25">
      <c r="A139" s="2" t="s">
        <v>427</v>
      </c>
      <c r="B139" s="4" t="s">
        <v>428</v>
      </c>
      <c r="C139" s="2" t="str">
        <f t="shared" si="4"/>
        <v>Dec</v>
      </c>
      <c r="D139" s="2">
        <f t="shared" si="5"/>
        <v>2025</v>
      </c>
      <c r="E139" s="2" t="s">
        <v>429</v>
      </c>
      <c r="F139" s="2" t="s">
        <v>38</v>
      </c>
      <c r="G139" s="2" t="s">
        <v>13</v>
      </c>
      <c r="H139" s="2" t="s">
        <v>121</v>
      </c>
      <c r="I139" s="2">
        <v>23240.45</v>
      </c>
      <c r="J139" s="2">
        <v>6</v>
      </c>
      <c r="K139" s="2">
        <v>5006.5</v>
      </c>
      <c r="L139" s="2"/>
    </row>
    <row r="140" spans="1:12" x14ac:dyDescent="0.25">
      <c r="A140" s="2" t="s">
        <v>430</v>
      </c>
      <c r="B140" s="4" t="s">
        <v>431</v>
      </c>
      <c r="C140" s="2" t="str">
        <f t="shared" si="4"/>
        <v>Feb</v>
      </c>
      <c r="D140" s="2">
        <f t="shared" si="5"/>
        <v>2025</v>
      </c>
      <c r="E140" s="2" t="s">
        <v>432</v>
      </c>
      <c r="F140" s="2" t="s">
        <v>24</v>
      </c>
      <c r="G140" s="2" t="s">
        <v>54</v>
      </c>
      <c r="H140" s="2" t="s">
        <v>84</v>
      </c>
      <c r="I140" s="2">
        <v>18380.22</v>
      </c>
      <c r="J140" s="2">
        <v>7</v>
      </c>
      <c r="K140" s="2">
        <v>1974.27</v>
      </c>
      <c r="L140" s="2"/>
    </row>
    <row r="141" spans="1:12" x14ac:dyDescent="0.25">
      <c r="A141" s="2" t="s">
        <v>433</v>
      </c>
      <c r="B141" s="4" t="s">
        <v>434</v>
      </c>
      <c r="C141" s="2" t="str">
        <f t="shared" si="4"/>
        <v>Dec</v>
      </c>
      <c r="D141" s="2">
        <f t="shared" si="5"/>
        <v>2025</v>
      </c>
      <c r="E141" s="2" t="s">
        <v>435</v>
      </c>
      <c r="F141" s="2" t="s">
        <v>42</v>
      </c>
      <c r="G141" s="2" t="s">
        <v>54</v>
      </c>
      <c r="H141" s="2" t="s">
        <v>138</v>
      </c>
      <c r="I141" s="2">
        <v>47611.94</v>
      </c>
      <c r="J141" s="2">
        <v>5</v>
      </c>
      <c r="K141" s="2">
        <v>0.41</v>
      </c>
      <c r="L141" s="2"/>
    </row>
    <row r="142" spans="1:12" x14ac:dyDescent="0.25">
      <c r="A142" s="2" t="s">
        <v>436</v>
      </c>
      <c r="B142" s="4" t="s">
        <v>437</v>
      </c>
      <c r="C142" s="2" t="str">
        <f t="shared" si="4"/>
        <v>May</v>
      </c>
      <c r="D142" s="2">
        <f t="shared" si="5"/>
        <v>2025</v>
      </c>
      <c r="E142" s="2" t="s">
        <v>438</v>
      </c>
      <c r="F142" s="2" t="s">
        <v>97</v>
      </c>
      <c r="G142" s="2" t="s">
        <v>54</v>
      </c>
      <c r="H142" s="2" t="s">
        <v>55</v>
      </c>
      <c r="I142" s="2">
        <v>14448.96</v>
      </c>
      <c r="J142" s="2">
        <v>4</v>
      </c>
      <c r="K142" s="2">
        <v>4210.37</v>
      </c>
      <c r="L142" s="2"/>
    </row>
    <row r="143" spans="1:12" x14ac:dyDescent="0.25">
      <c r="A143" s="2" t="s">
        <v>439</v>
      </c>
      <c r="B143" s="4" t="s">
        <v>440</v>
      </c>
      <c r="C143" s="2" t="str">
        <f t="shared" si="4"/>
        <v>Jan</v>
      </c>
      <c r="D143" s="2">
        <f t="shared" si="5"/>
        <v>2025</v>
      </c>
      <c r="E143" s="2" t="s">
        <v>441</v>
      </c>
      <c r="F143" s="2" t="s">
        <v>24</v>
      </c>
      <c r="G143" s="2" t="s">
        <v>25</v>
      </c>
      <c r="H143" s="2" t="s">
        <v>169</v>
      </c>
      <c r="I143" s="2">
        <v>15604.38</v>
      </c>
      <c r="J143" s="2">
        <v>1</v>
      </c>
      <c r="K143" s="2">
        <v>2614.5700000000002</v>
      </c>
      <c r="L143" s="2"/>
    </row>
    <row r="144" spans="1:12" x14ac:dyDescent="0.25">
      <c r="A144" s="2" t="s">
        <v>442</v>
      </c>
      <c r="B144" s="4" t="s">
        <v>443</v>
      </c>
      <c r="C144" s="2" t="str">
        <f t="shared" si="4"/>
        <v>Jan</v>
      </c>
      <c r="D144" s="2">
        <f t="shared" si="5"/>
        <v>2025</v>
      </c>
      <c r="E144" s="2" t="s">
        <v>444</v>
      </c>
      <c r="F144" s="2" t="s">
        <v>38</v>
      </c>
      <c r="G144" s="2" t="s">
        <v>54</v>
      </c>
      <c r="H144" s="2" t="s">
        <v>111</v>
      </c>
      <c r="I144" s="2">
        <v>13066.19</v>
      </c>
      <c r="J144" s="2">
        <v>4</v>
      </c>
      <c r="K144" s="2">
        <v>568.71</v>
      </c>
      <c r="L144" s="2"/>
    </row>
    <row r="145" spans="1:12" x14ac:dyDescent="0.25">
      <c r="A145" s="2" t="s">
        <v>445</v>
      </c>
      <c r="B145" s="4" t="s">
        <v>334</v>
      </c>
      <c r="C145" s="2" t="str">
        <f t="shared" si="4"/>
        <v>Oct</v>
      </c>
      <c r="D145" s="2">
        <f t="shared" si="5"/>
        <v>2025</v>
      </c>
      <c r="E145" s="2" t="s">
        <v>446</v>
      </c>
      <c r="F145" s="2" t="s">
        <v>18</v>
      </c>
      <c r="G145" s="2" t="s">
        <v>54</v>
      </c>
      <c r="H145" s="2" t="s">
        <v>190</v>
      </c>
      <c r="I145" s="2">
        <v>17827.810000000001</v>
      </c>
      <c r="J145" s="2">
        <v>8</v>
      </c>
      <c r="K145" s="2">
        <v>3663.81</v>
      </c>
      <c r="L145" s="2"/>
    </row>
    <row r="146" spans="1:12" x14ac:dyDescent="0.25">
      <c r="A146" s="2" t="s">
        <v>447</v>
      </c>
      <c r="B146" s="4" t="s">
        <v>186</v>
      </c>
      <c r="C146" s="2" t="str">
        <f t="shared" si="4"/>
        <v>Feb</v>
      </c>
      <c r="D146" s="2">
        <f t="shared" si="5"/>
        <v>2025</v>
      </c>
      <c r="E146" s="2" t="s">
        <v>448</v>
      </c>
      <c r="F146" s="2" t="s">
        <v>38</v>
      </c>
      <c r="G146" s="2" t="s">
        <v>13</v>
      </c>
      <c r="H146" s="2" t="s">
        <v>73</v>
      </c>
      <c r="I146" s="2">
        <v>20197.45</v>
      </c>
      <c r="J146" s="2">
        <v>10</v>
      </c>
      <c r="K146" s="2">
        <v>605.32000000000005</v>
      </c>
      <c r="L146" s="2"/>
    </row>
    <row r="147" spans="1:12" x14ac:dyDescent="0.25">
      <c r="A147" s="2" t="s">
        <v>449</v>
      </c>
      <c r="B147" s="4" t="s">
        <v>450</v>
      </c>
      <c r="C147" s="2" t="str">
        <f t="shared" si="4"/>
        <v>Sep</v>
      </c>
      <c r="D147" s="2">
        <f t="shared" si="5"/>
        <v>2025</v>
      </c>
      <c r="E147" s="2" t="s">
        <v>451</v>
      </c>
      <c r="F147" s="2" t="s">
        <v>24</v>
      </c>
      <c r="G147" s="2" t="s">
        <v>25</v>
      </c>
      <c r="H147" s="2" t="s">
        <v>154</v>
      </c>
      <c r="I147" s="2">
        <v>14037.74</v>
      </c>
      <c r="J147" s="2">
        <v>5</v>
      </c>
      <c r="K147" s="2">
        <v>719.6</v>
      </c>
      <c r="L147" s="2"/>
    </row>
    <row r="148" spans="1:12" x14ac:dyDescent="0.25">
      <c r="A148" s="2" t="s">
        <v>452</v>
      </c>
      <c r="B148" s="4" t="s">
        <v>103</v>
      </c>
      <c r="C148" s="2" t="str">
        <f t="shared" si="4"/>
        <v>Aug</v>
      </c>
      <c r="D148" s="2">
        <f t="shared" si="5"/>
        <v>2025</v>
      </c>
      <c r="E148" s="2" t="s">
        <v>453</v>
      </c>
      <c r="F148" s="2" t="s">
        <v>38</v>
      </c>
      <c r="G148" s="2" t="s">
        <v>54</v>
      </c>
      <c r="H148" s="2" t="s">
        <v>55</v>
      </c>
      <c r="I148" s="2">
        <v>8315.0499999999993</v>
      </c>
      <c r="J148" s="2">
        <v>9</v>
      </c>
      <c r="K148" s="2">
        <v>1166.8900000000001</v>
      </c>
      <c r="L148" s="2"/>
    </row>
    <row r="149" spans="1:12" x14ac:dyDescent="0.25">
      <c r="A149" s="2" t="s">
        <v>454</v>
      </c>
      <c r="B149" s="4" t="s">
        <v>455</v>
      </c>
      <c r="C149" s="2" t="str">
        <f t="shared" si="4"/>
        <v>May</v>
      </c>
      <c r="D149" s="2">
        <f t="shared" si="5"/>
        <v>2025</v>
      </c>
      <c r="E149" s="2" t="s">
        <v>456</v>
      </c>
      <c r="F149" s="2" t="s">
        <v>12</v>
      </c>
      <c r="G149" s="2" t="s">
        <v>25</v>
      </c>
      <c r="H149" s="2" t="s">
        <v>365</v>
      </c>
      <c r="I149" s="2">
        <v>45153.74</v>
      </c>
      <c r="J149" s="2">
        <v>5</v>
      </c>
      <c r="K149" s="2">
        <v>3013.06</v>
      </c>
      <c r="L149" s="2"/>
    </row>
    <row r="150" spans="1:12" x14ac:dyDescent="0.25">
      <c r="A150" s="2" t="s">
        <v>457</v>
      </c>
      <c r="B150" s="4" t="s">
        <v>52</v>
      </c>
      <c r="C150" s="2" t="str">
        <f t="shared" si="4"/>
        <v>Feb</v>
      </c>
      <c r="D150" s="2">
        <f t="shared" si="5"/>
        <v>2025</v>
      </c>
      <c r="E150" s="2" t="s">
        <v>458</v>
      </c>
      <c r="F150" s="2" t="s">
        <v>24</v>
      </c>
      <c r="G150" s="2" t="s">
        <v>13</v>
      </c>
      <c r="H150" s="2" t="s">
        <v>30</v>
      </c>
      <c r="I150" s="2">
        <v>38584.71</v>
      </c>
      <c r="J150" s="2">
        <v>5</v>
      </c>
      <c r="K150" s="2">
        <v>7925.83</v>
      </c>
      <c r="L150" s="2"/>
    </row>
    <row r="151" spans="1:12" x14ac:dyDescent="0.25">
      <c r="A151" s="2" t="s">
        <v>459</v>
      </c>
      <c r="B151" s="4" t="s">
        <v>143</v>
      </c>
      <c r="C151" s="2" t="str">
        <f t="shared" si="4"/>
        <v>Dec</v>
      </c>
      <c r="D151" s="2">
        <f t="shared" si="5"/>
        <v>2025</v>
      </c>
      <c r="E151" s="2" t="s">
        <v>460</v>
      </c>
      <c r="F151" s="2" t="s">
        <v>24</v>
      </c>
      <c r="G151" s="2" t="s">
        <v>13</v>
      </c>
      <c r="H151" s="2" t="s">
        <v>30</v>
      </c>
      <c r="I151" s="2">
        <v>30390.080000000002</v>
      </c>
      <c r="J151" s="2">
        <v>5</v>
      </c>
      <c r="K151" s="2">
        <v>3691.91</v>
      </c>
      <c r="L151" s="2"/>
    </row>
    <row r="152" spans="1:12" x14ac:dyDescent="0.25">
      <c r="A152" s="2" t="s">
        <v>461</v>
      </c>
      <c r="B152" s="4" t="s">
        <v>71</v>
      </c>
      <c r="C152" s="2" t="str">
        <f t="shared" si="4"/>
        <v>Jan</v>
      </c>
      <c r="D152" s="2">
        <f t="shared" si="5"/>
        <v>2025</v>
      </c>
      <c r="E152" s="2" t="s">
        <v>462</v>
      </c>
      <c r="F152" s="2" t="s">
        <v>42</v>
      </c>
      <c r="G152" s="2" t="s">
        <v>25</v>
      </c>
      <c r="H152" s="2" t="s">
        <v>169</v>
      </c>
      <c r="I152" s="2">
        <v>47171.99</v>
      </c>
      <c r="J152" s="2">
        <v>4</v>
      </c>
      <c r="K152" s="2">
        <v>12344.53</v>
      </c>
      <c r="L152" s="2"/>
    </row>
    <row r="153" spans="1:12" x14ac:dyDescent="0.25">
      <c r="A153" s="2" t="s">
        <v>463</v>
      </c>
      <c r="B153" s="4" t="s">
        <v>265</v>
      </c>
      <c r="C153" s="2" t="str">
        <f t="shared" si="4"/>
        <v>Nov</v>
      </c>
      <c r="D153" s="2">
        <f t="shared" si="5"/>
        <v>2025</v>
      </c>
      <c r="E153" s="2" t="s">
        <v>464</v>
      </c>
      <c r="F153" s="2" t="s">
        <v>24</v>
      </c>
      <c r="G153" s="2" t="s">
        <v>54</v>
      </c>
      <c r="H153" s="2" t="s">
        <v>138</v>
      </c>
      <c r="I153" s="2">
        <v>37423.279999999999</v>
      </c>
      <c r="J153" s="2">
        <v>3</v>
      </c>
      <c r="K153" s="2">
        <v>290.87</v>
      </c>
      <c r="L153" s="2"/>
    </row>
    <row r="154" spans="1:12" x14ac:dyDescent="0.25">
      <c r="A154" s="2" t="s">
        <v>465</v>
      </c>
      <c r="B154" s="4" t="s">
        <v>52</v>
      </c>
      <c r="C154" s="2" t="str">
        <f t="shared" si="4"/>
        <v>Feb</v>
      </c>
      <c r="D154" s="2">
        <f t="shared" si="5"/>
        <v>2025</v>
      </c>
      <c r="E154" s="2" t="s">
        <v>466</v>
      </c>
      <c r="F154" s="2" t="s">
        <v>12</v>
      </c>
      <c r="G154" s="2" t="s">
        <v>13</v>
      </c>
      <c r="H154" s="2" t="s">
        <v>14</v>
      </c>
      <c r="I154" s="2">
        <v>9994.2199999999993</v>
      </c>
      <c r="J154" s="2">
        <v>9</v>
      </c>
      <c r="K154" s="2">
        <v>685.21</v>
      </c>
      <c r="L154" s="2"/>
    </row>
    <row r="155" spans="1:12" x14ac:dyDescent="0.25">
      <c r="A155" s="2" t="s">
        <v>467</v>
      </c>
      <c r="B155" s="4" t="s">
        <v>275</v>
      </c>
      <c r="C155" s="2" t="str">
        <f t="shared" si="4"/>
        <v>Sep</v>
      </c>
      <c r="D155" s="2">
        <f t="shared" si="5"/>
        <v>2025</v>
      </c>
      <c r="E155" s="2" t="s">
        <v>468</v>
      </c>
      <c r="F155" s="2" t="s">
        <v>24</v>
      </c>
      <c r="G155" s="2" t="s">
        <v>13</v>
      </c>
      <c r="H155" s="2" t="s">
        <v>121</v>
      </c>
      <c r="I155" s="2">
        <v>27971.65</v>
      </c>
      <c r="J155" s="2">
        <v>7</v>
      </c>
      <c r="K155" s="2">
        <v>321.98</v>
      </c>
      <c r="L155" s="2"/>
    </row>
    <row r="156" spans="1:12" x14ac:dyDescent="0.25">
      <c r="A156" s="2" t="s">
        <v>469</v>
      </c>
      <c r="B156" s="4" t="s">
        <v>428</v>
      </c>
      <c r="C156" s="2" t="str">
        <f t="shared" si="4"/>
        <v>Dec</v>
      </c>
      <c r="D156" s="2">
        <f t="shared" si="5"/>
        <v>2025</v>
      </c>
      <c r="E156" s="2" t="s">
        <v>470</v>
      </c>
      <c r="F156" s="2" t="s">
        <v>34</v>
      </c>
      <c r="G156" s="2" t="s">
        <v>25</v>
      </c>
      <c r="H156" s="2" t="s">
        <v>365</v>
      </c>
      <c r="I156" s="2">
        <v>24029.15</v>
      </c>
      <c r="J156" s="2">
        <v>5</v>
      </c>
      <c r="K156" s="2">
        <v>4628.93</v>
      </c>
      <c r="L156" s="2"/>
    </row>
    <row r="157" spans="1:12" x14ac:dyDescent="0.25">
      <c r="A157" s="2" t="s">
        <v>471</v>
      </c>
      <c r="B157" s="4" t="s">
        <v>472</v>
      </c>
      <c r="C157" s="2" t="str">
        <f t="shared" si="4"/>
        <v>Jul</v>
      </c>
      <c r="D157" s="2">
        <f t="shared" si="5"/>
        <v>2025</v>
      </c>
      <c r="E157" s="2" t="s">
        <v>473</v>
      </c>
      <c r="F157" s="2" t="s">
        <v>42</v>
      </c>
      <c r="G157" s="2" t="s">
        <v>13</v>
      </c>
      <c r="H157" s="2" t="s">
        <v>14</v>
      </c>
      <c r="I157" s="2">
        <v>28570.5</v>
      </c>
      <c r="J157" s="2">
        <v>6</v>
      </c>
      <c r="K157" s="2">
        <v>3391.44</v>
      </c>
      <c r="L157" s="2"/>
    </row>
    <row r="158" spans="1:12" x14ac:dyDescent="0.25">
      <c r="A158" s="2" t="s">
        <v>474</v>
      </c>
      <c r="B158" s="4" t="s">
        <v>475</v>
      </c>
      <c r="C158" s="2" t="str">
        <f t="shared" si="4"/>
        <v>Mar</v>
      </c>
      <c r="D158" s="2">
        <f t="shared" si="5"/>
        <v>2025</v>
      </c>
      <c r="E158" s="2" t="s">
        <v>476</v>
      </c>
      <c r="F158" s="2" t="s">
        <v>42</v>
      </c>
      <c r="G158" s="2" t="s">
        <v>13</v>
      </c>
      <c r="H158" s="2" t="s">
        <v>30</v>
      </c>
      <c r="I158" s="2">
        <v>44964.13</v>
      </c>
      <c r="J158" s="2">
        <v>2</v>
      </c>
      <c r="K158" s="2">
        <v>10718.88</v>
      </c>
      <c r="L158" s="2"/>
    </row>
    <row r="159" spans="1:12" x14ac:dyDescent="0.25">
      <c r="A159" s="2" t="s">
        <v>477</v>
      </c>
      <c r="B159" s="4" t="s">
        <v>478</v>
      </c>
      <c r="C159" s="2" t="str">
        <f t="shared" si="4"/>
        <v>Oct</v>
      </c>
      <c r="D159" s="2">
        <f t="shared" si="5"/>
        <v>2025</v>
      </c>
      <c r="E159" s="2" t="s">
        <v>479</v>
      </c>
      <c r="F159" s="2" t="s">
        <v>12</v>
      </c>
      <c r="G159" s="2" t="s">
        <v>19</v>
      </c>
      <c r="H159" s="2" t="s">
        <v>20</v>
      </c>
      <c r="I159" s="2">
        <v>46368.65</v>
      </c>
      <c r="J159" s="2">
        <v>5</v>
      </c>
      <c r="K159" s="2">
        <v>6532.36</v>
      </c>
      <c r="L159" s="2"/>
    </row>
    <row r="160" spans="1:12" x14ac:dyDescent="0.25">
      <c r="A160" s="2" t="s">
        <v>480</v>
      </c>
      <c r="B160" s="4" t="s">
        <v>481</v>
      </c>
      <c r="C160" s="2" t="str">
        <f t="shared" si="4"/>
        <v>Aug</v>
      </c>
      <c r="D160" s="2">
        <f t="shared" si="5"/>
        <v>2025</v>
      </c>
      <c r="E160" s="2" t="s">
        <v>482</v>
      </c>
      <c r="F160" s="2" t="s">
        <v>97</v>
      </c>
      <c r="G160" s="2" t="s">
        <v>54</v>
      </c>
      <c r="H160" s="2" t="s">
        <v>111</v>
      </c>
      <c r="I160" s="2">
        <v>13690.09</v>
      </c>
      <c r="J160" s="2">
        <v>3</v>
      </c>
      <c r="K160" s="2">
        <v>2281.6999999999998</v>
      </c>
      <c r="L160" s="2"/>
    </row>
    <row r="161" spans="1:12" x14ac:dyDescent="0.25">
      <c r="A161" s="2" t="s">
        <v>483</v>
      </c>
      <c r="B161" s="4" t="s">
        <v>397</v>
      </c>
      <c r="C161" s="2" t="str">
        <f t="shared" si="4"/>
        <v>Dec</v>
      </c>
      <c r="D161" s="2">
        <f t="shared" si="5"/>
        <v>2025</v>
      </c>
      <c r="E161" s="2" t="s">
        <v>484</v>
      </c>
      <c r="F161" s="2" t="s">
        <v>24</v>
      </c>
      <c r="G161" s="2" t="s">
        <v>13</v>
      </c>
      <c r="H161" s="2" t="s">
        <v>121</v>
      </c>
      <c r="I161" s="2">
        <v>47831.61</v>
      </c>
      <c r="J161" s="2">
        <v>3</v>
      </c>
      <c r="K161" s="2">
        <v>-2139.8200000000002</v>
      </c>
      <c r="L161" s="2"/>
    </row>
    <row r="162" spans="1:12" x14ac:dyDescent="0.25">
      <c r="A162" s="2" t="s">
        <v>485</v>
      </c>
      <c r="B162" s="4" t="s">
        <v>486</v>
      </c>
      <c r="C162" s="2" t="str">
        <f t="shared" si="4"/>
        <v>Feb</v>
      </c>
      <c r="D162" s="2">
        <f t="shared" si="5"/>
        <v>2025</v>
      </c>
      <c r="E162" s="2" t="s">
        <v>487</v>
      </c>
      <c r="F162" s="2" t="s">
        <v>24</v>
      </c>
      <c r="G162" s="2" t="s">
        <v>54</v>
      </c>
      <c r="H162" s="2" t="s">
        <v>111</v>
      </c>
      <c r="I162" s="2">
        <v>28535.37</v>
      </c>
      <c r="J162" s="2">
        <v>1</v>
      </c>
      <c r="K162" s="2">
        <v>1189.03</v>
      </c>
      <c r="L162" s="2"/>
    </row>
    <row r="163" spans="1:12" x14ac:dyDescent="0.25">
      <c r="A163" s="2" t="s">
        <v>488</v>
      </c>
      <c r="B163" s="4" t="s">
        <v>489</v>
      </c>
      <c r="C163" s="2" t="str">
        <f t="shared" si="4"/>
        <v>Feb</v>
      </c>
      <c r="D163" s="2">
        <f t="shared" si="5"/>
        <v>2025</v>
      </c>
      <c r="E163" s="2" t="s">
        <v>490</v>
      </c>
      <c r="F163" s="2" t="s">
        <v>12</v>
      </c>
      <c r="G163" s="2" t="s">
        <v>13</v>
      </c>
      <c r="H163" s="2" t="s">
        <v>73</v>
      </c>
      <c r="I163" s="2">
        <v>1322.09</v>
      </c>
      <c r="J163" s="2">
        <v>2</v>
      </c>
      <c r="K163" s="2">
        <v>-48.84</v>
      </c>
      <c r="L163" s="2"/>
    </row>
    <row r="164" spans="1:12" x14ac:dyDescent="0.25">
      <c r="A164" s="2" t="s">
        <v>491</v>
      </c>
      <c r="B164" s="4" t="s">
        <v>492</v>
      </c>
      <c r="C164" s="2" t="str">
        <f t="shared" si="4"/>
        <v>Jul</v>
      </c>
      <c r="D164" s="2">
        <f t="shared" si="5"/>
        <v>2025</v>
      </c>
      <c r="E164" s="2" t="s">
        <v>493</v>
      </c>
      <c r="F164" s="2" t="s">
        <v>34</v>
      </c>
      <c r="G164" s="2" t="s">
        <v>19</v>
      </c>
      <c r="H164" s="2" t="s">
        <v>101</v>
      </c>
      <c r="I164" s="2">
        <v>37729.379999999997</v>
      </c>
      <c r="J164" s="2">
        <v>8</v>
      </c>
      <c r="K164" s="2">
        <v>1168.1199999999999</v>
      </c>
      <c r="L164" s="2"/>
    </row>
    <row r="165" spans="1:12" x14ac:dyDescent="0.25">
      <c r="A165" s="2" t="s">
        <v>494</v>
      </c>
      <c r="B165" s="4" t="s">
        <v>495</v>
      </c>
      <c r="C165" s="2" t="str">
        <f t="shared" si="4"/>
        <v>Dec</v>
      </c>
      <c r="D165" s="2">
        <f t="shared" si="5"/>
        <v>2025</v>
      </c>
      <c r="E165" s="2" t="s">
        <v>496</v>
      </c>
      <c r="F165" s="2" t="s">
        <v>42</v>
      </c>
      <c r="G165" s="2" t="s">
        <v>54</v>
      </c>
      <c r="H165" s="2" t="s">
        <v>111</v>
      </c>
      <c r="I165" s="2">
        <v>47084.800000000003</v>
      </c>
      <c r="J165" s="2">
        <v>7</v>
      </c>
      <c r="K165" s="2">
        <v>13028.08</v>
      </c>
      <c r="L165" s="2"/>
    </row>
    <row r="166" spans="1:12" x14ac:dyDescent="0.25">
      <c r="A166" s="2" t="s">
        <v>497</v>
      </c>
      <c r="B166" s="4" t="s">
        <v>498</v>
      </c>
      <c r="C166" s="2" t="str">
        <f t="shared" si="4"/>
        <v>Oct</v>
      </c>
      <c r="D166" s="2">
        <f t="shared" si="5"/>
        <v>2025</v>
      </c>
      <c r="E166" s="2" t="s">
        <v>499</v>
      </c>
      <c r="F166" s="2" t="s">
        <v>24</v>
      </c>
      <c r="G166" s="2" t="s">
        <v>13</v>
      </c>
      <c r="H166" s="2" t="s">
        <v>121</v>
      </c>
      <c r="I166" s="2">
        <v>14183.66</v>
      </c>
      <c r="J166" s="2">
        <v>6</v>
      </c>
      <c r="K166" s="2">
        <v>1059.1400000000001</v>
      </c>
      <c r="L166" s="2"/>
    </row>
    <row r="167" spans="1:12" x14ac:dyDescent="0.25">
      <c r="A167" s="2" t="s">
        <v>500</v>
      </c>
      <c r="B167" s="4" t="s">
        <v>501</v>
      </c>
      <c r="C167" s="2" t="str">
        <f t="shared" si="4"/>
        <v>Jul</v>
      </c>
      <c r="D167" s="2">
        <f t="shared" si="5"/>
        <v>2025</v>
      </c>
      <c r="E167" s="2" t="s">
        <v>502</v>
      </c>
      <c r="F167" s="2" t="s">
        <v>18</v>
      </c>
      <c r="G167" s="2" t="s">
        <v>19</v>
      </c>
      <c r="H167" s="2" t="s">
        <v>43</v>
      </c>
      <c r="I167" s="2">
        <v>21499.77</v>
      </c>
      <c r="J167" s="2">
        <v>10</v>
      </c>
      <c r="K167" s="2">
        <v>223.64</v>
      </c>
      <c r="L167" s="2"/>
    </row>
    <row r="168" spans="1:12" x14ac:dyDescent="0.25">
      <c r="A168" s="2" t="s">
        <v>503</v>
      </c>
      <c r="B168" s="4" t="s">
        <v>504</v>
      </c>
      <c r="C168" s="2" t="str">
        <f t="shared" si="4"/>
        <v>Nov</v>
      </c>
      <c r="D168" s="2">
        <f t="shared" si="5"/>
        <v>2025</v>
      </c>
      <c r="E168" s="2" t="s">
        <v>505</v>
      </c>
      <c r="F168" s="2" t="s">
        <v>38</v>
      </c>
      <c r="G168" s="2" t="s">
        <v>25</v>
      </c>
      <c r="H168" s="2" t="s">
        <v>26</v>
      </c>
      <c r="I168" s="2">
        <v>30754.51</v>
      </c>
      <c r="J168" s="2">
        <v>5</v>
      </c>
      <c r="K168" s="2">
        <v>7230.82</v>
      </c>
      <c r="L168" s="2"/>
    </row>
    <row r="169" spans="1:12" x14ac:dyDescent="0.25">
      <c r="A169" s="2" t="s">
        <v>506</v>
      </c>
      <c r="B169" s="4" t="s">
        <v>507</v>
      </c>
      <c r="C169" s="2" t="str">
        <f t="shared" si="4"/>
        <v>Apr</v>
      </c>
      <c r="D169" s="2">
        <f t="shared" si="5"/>
        <v>2025</v>
      </c>
      <c r="E169" s="2" t="s">
        <v>508</v>
      </c>
      <c r="F169" s="2" t="s">
        <v>18</v>
      </c>
      <c r="G169" s="2" t="s">
        <v>13</v>
      </c>
      <c r="H169" s="2" t="s">
        <v>121</v>
      </c>
      <c r="I169" s="2">
        <v>19224.05</v>
      </c>
      <c r="J169" s="2">
        <v>5</v>
      </c>
      <c r="K169" s="2">
        <v>4303.75</v>
      </c>
      <c r="L169" s="2"/>
    </row>
    <row r="170" spans="1:12" x14ac:dyDescent="0.25">
      <c r="A170" s="2" t="s">
        <v>509</v>
      </c>
      <c r="B170" s="4" t="s">
        <v>510</v>
      </c>
      <c r="C170" s="2" t="str">
        <f t="shared" si="4"/>
        <v>Dec</v>
      </c>
      <c r="D170" s="2">
        <f t="shared" si="5"/>
        <v>2025</v>
      </c>
      <c r="E170" s="2" t="s">
        <v>511</v>
      </c>
      <c r="F170" s="2" t="s">
        <v>18</v>
      </c>
      <c r="G170" s="2" t="s">
        <v>25</v>
      </c>
      <c r="H170" s="2" t="s">
        <v>154</v>
      </c>
      <c r="I170" s="2">
        <v>1534.16</v>
      </c>
      <c r="J170" s="2">
        <v>7</v>
      </c>
      <c r="K170" s="2">
        <v>433.29</v>
      </c>
      <c r="L170" s="2"/>
    </row>
    <row r="171" spans="1:12" x14ac:dyDescent="0.25">
      <c r="A171" s="2" t="s">
        <v>512</v>
      </c>
      <c r="B171" s="4" t="s">
        <v>513</v>
      </c>
      <c r="C171" s="2" t="str">
        <f t="shared" si="4"/>
        <v>Jan</v>
      </c>
      <c r="D171" s="2">
        <f t="shared" si="5"/>
        <v>2025</v>
      </c>
      <c r="E171" s="2" t="s">
        <v>514</v>
      </c>
      <c r="F171" s="2" t="s">
        <v>97</v>
      </c>
      <c r="G171" s="2" t="s">
        <v>13</v>
      </c>
      <c r="H171" s="2" t="s">
        <v>77</v>
      </c>
      <c r="I171" s="2">
        <v>30432.62</v>
      </c>
      <c r="J171" s="2">
        <v>3</v>
      </c>
      <c r="K171" s="2">
        <v>1125.9000000000001</v>
      </c>
      <c r="L171" s="2"/>
    </row>
    <row r="172" spans="1:12" x14ac:dyDescent="0.25">
      <c r="A172" s="2" t="s">
        <v>515</v>
      </c>
      <c r="B172" s="4" t="s">
        <v>129</v>
      </c>
      <c r="C172" s="2" t="str">
        <f t="shared" si="4"/>
        <v>Dec</v>
      </c>
      <c r="D172" s="2">
        <f t="shared" si="5"/>
        <v>2025</v>
      </c>
      <c r="E172" s="2" t="s">
        <v>516</v>
      </c>
      <c r="F172" s="2" t="s">
        <v>97</v>
      </c>
      <c r="G172" s="2" t="s">
        <v>19</v>
      </c>
      <c r="H172" s="2" t="s">
        <v>20</v>
      </c>
      <c r="I172" s="2">
        <v>6237.04</v>
      </c>
      <c r="J172" s="2">
        <v>8</v>
      </c>
      <c r="K172" s="2">
        <v>117.46</v>
      </c>
      <c r="L172" s="2"/>
    </row>
    <row r="173" spans="1:12" x14ac:dyDescent="0.25">
      <c r="A173" s="2" t="s">
        <v>517</v>
      </c>
      <c r="B173" s="4" t="s">
        <v>323</v>
      </c>
      <c r="C173" s="2" t="str">
        <f t="shared" si="4"/>
        <v>Nov</v>
      </c>
      <c r="D173" s="2">
        <f t="shared" si="5"/>
        <v>2025</v>
      </c>
      <c r="E173" s="2" t="s">
        <v>518</v>
      </c>
      <c r="F173" s="2" t="s">
        <v>97</v>
      </c>
      <c r="G173" s="2" t="s">
        <v>25</v>
      </c>
      <c r="H173" s="2" t="s">
        <v>47</v>
      </c>
      <c r="I173" s="2">
        <v>20928.68</v>
      </c>
      <c r="J173" s="2">
        <v>4</v>
      </c>
      <c r="K173" s="2">
        <v>6244.46</v>
      </c>
      <c r="L173" s="2"/>
    </row>
    <row r="174" spans="1:12" x14ac:dyDescent="0.25">
      <c r="A174" s="2" t="s">
        <v>519</v>
      </c>
      <c r="B174" s="4" t="s">
        <v>520</v>
      </c>
      <c r="C174" s="2" t="str">
        <f t="shared" si="4"/>
        <v>Dec</v>
      </c>
      <c r="D174" s="2">
        <f t="shared" si="5"/>
        <v>2025</v>
      </c>
      <c r="E174" s="2" t="s">
        <v>521</v>
      </c>
      <c r="F174" s="2" t="s">
        <v>38</v>
      </c>
      <c r="G174" s="2" t="s">
        <v>54</v>
      </c>
      <c r="H174" s="2" t="s">
        <v>190</v>
      </c>
      <c r="I174" s="2">
        <v>28762.39</v>
      </c>
      <c r="J174" s="2">
        <v>8</v>
      </c>
      <c r="K174" s="2">
        <v>611.84</v>
      </c>
      <c r="L174" s="2"/>
    </row>
    <row r="175" spans="1:12" x14ac:dyDescent="0.25">
      <c r="A175" s="2" t="s">
        <v>522</v>
      </c>
      <c r="B175" s="4" t="s">
        <v>523</v>
      </c>
      <c r="C175" s="2" t="str">
        <f t="shared" si="4"/>
        <v>Jan</v>
      </c>
      <c r="D175" s="2">
        <f t="shared" si="5"/>
        <v>2025</v>
      </c>
      <c r="E175" s="2" t="s">
        <v>524</v>
      </c>
      <c r="F175" s="2" t="s">
        <v>34</v>
      </c>
      <c r="G175" s="2" t="s">
        <v>19</v>
      </c>
      <c r="H175" s="2" t="s">
        <v>43</v>
      </c>
      <c r="I175" s="2">
        <v>40617.86</v>
      </c>
      <c r="J175" s="2">
        <v>9</v>
      </c>
      <c r="K175" s="2">
        <v>10402.34</v>
      </c>
      <c r="L175" s="2"/>
    </row>
    <row r="176" spans="1:12" x14ac:dyDescent="0.25">
      <c r="A176" s="2" t="s">
        <v>525</v>
      </c>
      <c r="B176" s="4" t="s">
        <v>526</v>
      </c>
      <c r="C176" s="2" t="str">
        <f t="shared" si="4"/>
        <v>Jun</v>
      </c>
      <c r="D176" s="2">
        <f t="shared" si="5"/>
        <v>2025</v>
      </c>
      <c r="E176" s="2" t="s">
        <v>527</v>
      </c>
      <c r="F176" s="2" t="s">
        <v>97</v>
      </c>
      <c r="G176" s="2" t="s">
        <v>19</v>
      </c>
      <c r="H176" s="2" t="s">
        <v>101</v>
      </c>
      <c r="I176" s="2">
        <v>36185.49</v>
      </c>
      <c r="J176" s="2">
        <v>1</v>
      </c>
      <c r="K176" s="2">
        <v>2378.44</v>
      </c>
      <c r="L176" s="2"/>
    </row>
    <row r="177" spans="1:12" x14ac:dyDescent="0.25">
      <c r="A177" s="2" t="s">
        <v>528</v>
      </c>
      <c r="B177" s="4" t="s">
        <v>529</v>
      </c>
      <c r="C177" s="2" t="str">
        <f t="shared" si="4"/>
        <v>May</v>
      </c>
      <c r="D177" s="2">
        <f t="shared" si="5"/>
        <v>2025</v>
      </c>
      <c r="E177" s="2" t="s">
        <v>530</v>
      </c>
      <c r="F177" s="2" t="s">
        <v>24</v>
      </c>
      <c r="G177" s="2" t="s">
        <v>54</v>
      </c>
      <c r="H177" s="2" t="s">
        <v>111</v>
      </c>
      <c r="I177" s="2">
        <v>10844.71</v>
      </c>
      <c r="J177" s="2">
        <v>6</v>
      </c>
      <c r="K177" s="2">
        <v>765.86</v>
      </c>
      <c r="L177" s="2"/>
    </row>
    <row r="178" spans="1:12" x14ac:dyDescent="0.25">
      <c r="A178" s="2" t="s">
        <v>531</v>
      </c>
      <c r="B178" s="4" t="s">
        <v>532</v>
      </c>
      <c r="C178" s="2" t="str">
        <f t="shared" si="4"/>
        <v>Aug</v>
      </c>
      <c r="D178" s="2">
        <f t="shared" si="5"/>
        <v>2025</v>
      </c>
      <c r="E178" s="2" t="s">
        <v>533</v>
      </c>
      <c r="F178" s="2" t="s">
        <v>24</v>
      </c>
      <c r="G178" s="2" t="s">
        <v>25</v>
      </c>
      <c r="H178" s="2" t="s">
        <v>365</v>
      </c>
      <c r="I178" s="2">
        <v>16153.6</v>
      </c>
      <c r="J178" s="2">
        <v>1</v>
      </c>
      <c r="K178" s="2">
        <v>4411.16</v>
      </c>
      <c r="L178" s="2"/>
    </row>
    <row r="179" spans="1:12" x14ac:dyDescent="0.25">
      <c r="A179" s="2" t="s">
        <v>534</v>
      </c>
      <c r="B179" s="4" t="s">
        <v>535</v>
      </c>
      <c r="C179" s="2" t="str">
        <f t="shared" si="4"/>
        <v>Apr</v>
      </c>
      <c r="D179" s="2">
        <f t="shared" si="5"/>
        <v>2025</v>
      </c>
      <c r="E179" s="2" t="s">
        <v>536</v>
      </c>
      <c r="F179" s="2" t="s">
        <v>24</v>
      </c>
      <c r="G179" s="2" t="s">
        <v>13</v>
      </c>
      <c r="H179" s="2" t="s">
        <v>30</v>
      </c>
      <c r="I179" s="2">
        <v>34731.65</v>
      </c>
      <c r="J179" s="2">
        <v>9</v>
      </c>
      <c r="K179" s="2">
        <v>3332.66</v>
      </c>
      <c r="L179" s="2"/>
    </row>
    <row r="180" spans="1:12" x14ac:dyDescent="0.25">
      <c r="A180" s="2" t="s">
        <v>537</v>
      </c>
      <c r="B180" s="4" t="s">
        <v>538</v>
      </c>
      <c r="C180" s="2" t="str">
        <f t="shared" si="4"/>
        <v>Mar</v>
      </c>
      <c r="D180" s="2">
        <f t="shared" si="5"/>
        <v>2025</v>
      </c>
      <c r="E180" s="2" t="s">
        <v>539</v>
      </c>
      <c r="F180" s="2" t="s">
        <v>34</v>
      </c>
      <c r="G180" s="2" t="s">
        <v>25</v>
      </c>
      <c r="H180" s="2" t="s">
        <v>26</v>
      </c>
      <c r="I180" s="2">
        <v>13006.35</v>
      </c>
      <c r="J180" s="2">
        <v>4</v>
      </c>
      <c r="K180" s="2">
        <v>-95.66</v>
      </c>
      <c r="L180" s="2"/>
    </row>
    <row r="181" spans="1:12" x14ac:dyDescent="0.25">
      <c r="A181" s="2" t="s">
        <v>540</v>
      </c>
      <c r="B181" s="4" t="s">
        <v>541</v>
      </c>
      <c r="C181" s="2" t="str">
        <f t="shared" si="4"/>
        <v>Aug</v>
      </c>
      <c r="D181" s="2">
        <f t="shared" si="5"/>
        <v>2025</v>
      </c>
      <c r="E181" s="2" t="s">
        <v>542</v>
      </c>
      <c r="F181" s="2" t="s">
        <v>42</v>
      </c>
      <c r="G181" s="2" t="s">
        <v>54</v>
      </c>
      <c r="H181" s="2" t="s">
        <v>84</v>
      </c>
      <c r="I181" s="2">
        <v>35632.559999999998</v>
      </c>
      <c r="J181" s="2">
        <v>4</v>
      </c>
      <c r="K181" s="2">
        <v>-179.68</v>
      </c>
      <c r="L181" s="2"/>
    </row>
    <row r="182" spans="1:12" x14ac:dyDescent="0.25">
      <c r="A182" s="2" t="s">
        <v>543</v>
      </c>
      <c r="B182" s="4" t="s">
        <v>544</v>
      </c>
      <c r="C182" s="2" t="str">
        <f t="shared" si="4"/>
        <v>Jun</v>
      </c>
      <c r="D182" s="2">
        <f t="shared" si="5"/>
        <v>2025</v>
      </c>
      <c r="E182" s="2" t="s">
        <v>545</v>
      </c>
      <c r="F182" s="2" t="s">
        <v>42</v>
      </c>
      <c r="G182" s="2" t="s">
        <v>25</v>
      </c>
      <c r="H182" s="2" t="s">
        <v>169</v>
      </c>
      <c r="I182" s="2">
        <v>39161.480000000003</v>
      </c>
      <c r="J182" s="2">
        <v>7</v>
      </c>
      <c r="K182" s="2">
        <v>6182.63</v>
      </c>
      <c r="L182" s="2"/>
    </row>
    <row r="183" spans="1:12" x14ac:dyDescent="0.25">
      <c r="A183" s="2" t="s">
        <v>546</v>
      </c>
      <c r="B183" s="4" t="s">
        <v>434</v>
      </c>
      <c r="C183" s="2" t="str">
        <f t="shared" si="4"/>
        <v>Dec</v>
      </c>
      <c r="D183" s="2">
        <f t="shared" si="5"/>
        <v>2025</v>
      </c>
      <c r="E183" s="2" t="s">
        <v>547</v>
      </c>
      <c r="F183" s="2" t="s">
        <v>38</v>
      </c>
      <c r="G183" s="2" t="s">
        <v>19</v>
      </c>
      <c r="H183" s="2" t="s">
        <v>63</v>
      </c>
      <c r="I183" s="2">
        <v>42853.93</v>
      </c>
      <c r="J183" s="2">
        <v>4</v>
      </c>
      <c r="K183" s="2">
        <v>3119.84</v>
      </c>
      <c r="L183" s="2"/>
    </row>
    <row r="184" spans="1:12" x14ac:dyDescent="0.25">
      <c r="A184" s="2" t="s">
        <v>548</v>
      </c>
      <c r="B184" s="4" t="s">
        <v>397</v>
      </c>
      <c r="C184" s="2" t="str">
        <f t="shared" si="4"/>
        <v>Dec</v>
      </c>
      <c r="D184" s="2">
        <f t="shared" si="5"/>
        <v>2025</v>
      </c>
      <c r="E184" s="2" t="s">
        <v>549</v>
      </c>
      <c r="F184" s="2" t="s">
        <v>18</v>
      </c>
      <c r="G184" s="2" t="s">
        <v>19</v>
      </c>
      <c r="H184" s="2" t="s">
        <v>101</v>
      </c>
      <c r="I184" s="2">
        <v>47221.42</v>
      </c>
      <c r="J184" s="2">
        <v>3</v>
      </c>
      <c r="K184" s="2">
        <v>-1267.95</v>
      </c>
      <c r="L184" s="2"/>
    </row>
    <row r="185" spans="1:12" x14ac:dyDescent="0.25">
      <c r="A185" s="2" t="s">
        <v>550</v>
      </c>
      <c r="B185" s="4" t="s">
        <v>551</v>
      </c>
      <c r="C185" s="2" t="str">
        <f t="shared" si="4"/>
        <v>Jul</v>
      </c>
      <c r="D185" s="2">
        <f t="shared" si="5"/>
        <v>2025</v>
      </c>
      <c r="E185" s="2" t="s">
        <v>552</v>
      </c>
      <c r="F185" s="2" t="s">
        <v>97</v>
      </c>
      <c r="G185" s="2" t="s">
        <v>13</v>
      </c>
      <c r="H185" s="2" t="s">
        <v>30</v>
      </c>
      <c r="I185" s="2">
        <v>20354.57</v>
      </c>
      <c r="J185" s="2">
        <v>4</v>
      </c>
      <c r="K185" s="2">
        <v>3340.24</v>
      </c>
      <c r="L185" s="2"/>
    </row>
    <row r="186" spans="1:12" x14ac:dyDescent="0.25">
      <c r="A186" s="2" t="s">
        <v>553</v>
      </c>
      <c r="B186" s="4" t="s">
        <v>510</v>
      </c>
      <c r="C186" s="2" t="str">
        <f t="shared" si="4"/>
        <v>Dec</v>
      </c>
      <c r="D186" s="2">
        <f t="shared" si="5"/>
        <v>2025</v>
      </c>
      <c r="E186" s="2" t="s">
        <v>554</v>
      </c>
      <c r="F186" s="2" t="s">
        <v>42</v>
      </c>
      <c r="G186" s="2" t="s">
        <v>25</v>
      </c>
      <c r="H186" s="2" t="s">
        <v>169</v>
      </c>
      <c r="I186" s="2">
        <v>1432.8</v>
      </c>
      <c r="J186" s="2">
        <v>10</v>
      </c>
      <c r="K186" s="2">
        <v>180.19</v>
      </c>
      <c r="L186" s="2"/>
    </row>
    <row r="187" spans="1:12" x14ac:dyDescent="0.25">
      <c r="A187" s="2" t="s">
        <v>555</v>
      </c>
      <c r="B187" s="4" t="s">
        <v>556</v>
      </c>
      <c r="C187" s="2" t="str">
        <f t="shared" si="4"/>
        <v>Jul</v>
      </c>
      <c r="D187" s="2">
        <f t="shared" si="5"/>
        <v>2025</v>
      </c>
      <c r="E187" s="2" t="s">
        <v>557</v>
      </c>
      <c r="F187" s="2" t="s">
        <v>42</v>
      </c>
      <c r="G187" s="2" t="s">
        <v>54</v>
      </c>
      <c r="H187" s="2" t="s">
        <v>190</v>
      </c>
      <c r="I187" s="2">
        <v>46639.78</v>
      </c>
      <c r="J187" s="2">
        <v>4</v>
      </c>
      <c r="K187" s="2">
        <v>9435.02</v>
      </c>
      <c r="L187" s="2"/>
    </row>
    <row r="188" spans="1:12" x14ac:dyDescent="0.25">
      <c r="A188" s="2" t="s">
        <v>558</v>
      </c>
      <c r="B188" s="4" t="s">
        <v>356</v>
      </c>
      <c r="C188" s="2" t="str">
        <f t="shared" si="4"/>
        <v>Aug</v>
      </c>
      <c r="D188" s="2">
        <f t="shared" si="5"/>
        <v>2025</v>
      </c>
      <c r="E188" s="2" t="s">
        <v>559</v>
      </c>
      <c r="F188" s="2" t="s">
        <v>42</v>
      </c>
      <c r="G188" s="2" t="s">
        <v>54</v>
      </c>
      <c r="H188" s="2" t="s">
        <v>84</v>
      </c>
      <c r="I188" s="2">
        <v>5200.41</v>
      </c>
      <c r="J188" s="2">
        <v>4</v>
      </c>
      <c r="K188" s="2">
        <v>1387.31</v>
      </c>
      <c r="L188" s="2"/>
    </row>
    <row r="189" spans="1:12" x14ac:dyDescent="0.25">
      <c r="A189" s="2" t="s">
        <v>560</v>
      </c>
      <c r="B189" s="4" t="s">
        <v>10</v>
      </c>
      <c r="C189" s="2" t="str">
        <f t="shared" si="4"/>
        <v>Jun</v>
      </c>
      <c r="D189" s="2">
        <f t="shared" si="5"/>
        <v>2025</v>
      </c>
      <c r="E189" s="2" t="s">
        <v>561</v>
      </c>
      <c r="F189" s="2" t="s">
        <v>38</v>
      </c>
      <c r="G189" s="2" t="s">
        <v>19</v>
      </c>
      <c r="H189" s="2" t="s">
        <v>20</v>
      </c>
      <c r="I189" s="2">
        <v>33705.32</v>
      </c>
      <c r="J189" s="2">
        <v>9</v>
      </c>
      <c r="K189" s="2">
        <v>8130.76</v>
      </c>
      <c r="L189" s="2"/>
    </row>
    <row r="190" spans="1:12" x14ac:dyDescent="0.25">
      <c r="A190" s="2" t="s">
        <v>562</v>
      </c>
      <c r="B190" s="4" t="s">
        <v>563</v>
      </c>
      <c r="C190" s="2" t="str">
        <f t="shared" si="4"/>
        <v>Oct</v>
      </c>
      <c r="D190" s="2">
        <f t="shared" si="5"/>
        <v>2025</v>
      </c>
      <c r="E190" s="2" t="s">
        <v>564</v>
      </c>
      <c r="F190" s="2" t="s">
        <v>42</v>
      </c>
      <c r="G190" s="2" t="s">
        <v>54</v>
      </c>
      <c r="H190" s="2" t="s">
        <v>111</v>
      </c>
      <c r="I190" s="2">
        <v>42637.440000000002</v>
      </c>
      <c r="J190" s="2">
        <v>7</v>
      </c>
      <c r="K190" s="2">
        <v>8249.74</v>
      </c>
      <c r="L190" s="2"/>
    </row>
    <row r="191" spans="1:12" x14ac:dyDescent="0.25">
      <c r="A191" s="2" t="s">
        <v>565</v>
      </c>
      <c r="B191" s="4" t="s">
        <v>566</v>
      </c>
      <c r="C191" s="2" t="str">
        <f t="shared" si="4"/>
        <v>Dec</v>
      </c>
      <c r="D191" s="2">
        <f t="shared" si="5"/>
        <v>2025</v>
      </c>
      <c r="E191" s="2" t="s">
        <v>567</v>
      </c>
      <c r="F191" s="2" t="s">
        <v>18</v>
      </c>
      <c r="G191" s="2" t="s">
        <v>25</v>
      </c>
      <c r="H191" s="2" t="s">
        <v>154</v>
      </c>
      <c r="I191" s="2">
        <v>3522.48</v>
      </c>
      <c r="J191" s="2">
        <v>5</v>
      </c>
      <c r="K191" s="2">
        <v>-15.32</v>
      </c>
      <c r="L191" s="2"/>
    </row>
    <row r="192" spans="1:12" x14ac:dyDescent="0.25">
      <c r="A192" s="2" t="s">
        <v>568</v>
      </c>
      <c r="B192" s="4" t="s">
        <v>569</v>
      </c>
      <c r="C192" s="2" t="str">
        <f t="shared" si="4"/>
        <v>Nov</v>
      </c>
      <c r="D192" s="2">
        <f t="shared" si="5"/>
        <v>2025</v>
      </c>
      <c r="E192" s="2" t="s">
        <v>570</v>
      </c>
      <c r="F192" s="2" t="s">
        <v>12</v>
      </c>
      <c r="G192" s="2" t="s">
        <v>19</v>
      </c>
      <c r="H192" s="2" t="s">
        <v>43</v>
      </c>
      <c r="I192" s="2">
        <v>2667.44</v>
      </c>
      <c r="J192" s="2">
        <v>1</v>
      </c>
      <c r="K192" s="2">
        <v>670.38</v>
      </c>
      <c r="L192" s="2"/>
    </row>
    <row r="193" spans="1:12" x14ac:dyDescent="0.25">
      <c r="A193" s="2" t="s">
        <v>571</v>
      </c>
      <c r="B193" s="4" t="s">
        <v>572</v>
      </c>
      <c r="C193" s="2" t="str">
        <f t="shared" si="4"/>
        <v>Mar</v>
      </c>
      <c r="D193" s="2">
        <f t="shared" si="5"/>
        <v>2025</v>
      </c>
      <c r="E193" s="2" t="s">
        <v>573</v>
      </c>
      <c r="F193" s="2" t="s">
        <v>18</v>
      </c>
      <c r="G193" s="2" t="s">
        <v>19</v>
      </c>
      <c r="H193" s="2" t="s">
        <v>101</v>
      </c>
      <c r="I193" s="2">
        <v>4474.74</v>
      </c>
      <c r="J193" s="2">
        <v>10</v>
      </c>
      <c r="K193" s="2">
        <v>1166.28</v>
      </c>
      <c r="L193" s="2"/>
    </row>
    <row r="194" spans="1:12" x14ac:dyDescent="0.25">
      <c r="A194" s="2" t="s">
        <v>574</v>
      </c>
      <c r="B194" s="4" t="s">
        <v>201</v>
      </c>
      <c r="C194" s="2" t="str">
        <f t="shared" si="4"/>
        <v>Sep</v>
      </c>
      <c r="D194" s="2">
        <f t="shared" si="5"/>
        <v>2025</v>
      </c>
      <c r="E194" s="2" t="s">
        <v>575</v>
      </c>
      <c r="F194" s="2" t="s">
        <v>12</v>
      </c>
      <c r="G194" s="2" t="s">
        <v>25</v>
      </c>
      <c r="H194" s="2" t="s">
        <v>365</v>
      </c>
      <c r="I194" s="2">
        <v>8718.27</v>
      </c>
      <c r="J194" s="2">
        <v>10</v>
      </c>
      <c r="K194" s="2">
        <v>2369.66</v>
      </c>
      <c r="L194" s="2"/>
    </row>
    <row r="195" spans="1:12" x14ac:dyDescent="0.25">
      <c r="A195" s="2" t="s">
        <v>576</v>
      </c>
      <c r="B195" s="4" t="s">
        <v>386</v>
      </c>
      <c r="C195" s="2" t="str">
        <f t="shared" ref="C195:C258" si="6">TEXT(B195, "mmm")</f>
        <v>Sep</v>
      </c>
      <c r="D195" s="2">
        <f t="shared" ref="D195:D258" si="7">YEAR(B195)</f>
        <v>2025</v>
      </c>
      <c r="E195" s="2" t="s">
        <v>577</v>
      </c>
      <c r="F195" s="2" t="s">
        <v>34</v>
      </c>
      <c r="G195" s="2" t="s">
        <v>19</v>
      </c>
      <c r="H195" s="2" t="s">
        <v>63</v>
      </c>
      <c r="I195" s="2">
        <v>47925.48</v>
      </c>
      <c r="J195" s="2">
        <v>2</v>
      </c>
      <c r="K195" s="2">
        <v>12643.89</v>
      </c>
      <c r="L195" s="2"/>
    </row>
    <row r="196" spans="1:12" x14ac:dyDescent="0.25">
      <c r="A196" s="2" t="s">
        <v>578</v>
      </c>
      <c r="B196" s="4" t="s">
        <v>556</v>
      </c>
      <c r="C196" s="2" t="str">
        <f t="shared" si="6"/>
        <v>Jul</v>
      </c>
      <c r="D196" s="2">
        <f t="shared" si="7"/>
        <v>2025</v>
      </c>
      <c r="E196" s="2" t="s">
        <v>579</v>
      </c>
      <c r="F196" s="2" t="s">
        <v>42</v>
      </c>
      <c r="G196" s="2" t="s">
        <v>54</v>
      </c>
      <c r="H196" s="2" t="s">
        <v>111</v>
      </c>
      <c r="I196" s="2">
        <v>17612.830000000002</v>
      </c>
      <c r="J196" s="2">
        <v>6</v>
      </c>
      <c r="K196" s="2">
        <v>-132.71</v>
      </c>
      <c r="L196" s="2"/>
    </row>
    <row r="197" spans="1:12" x14ac:dyDescent="0.25">
      <c r="A197" s="2" t="s">
        <v>580</v>
      </c>
      <c r="B197" s="4" t="s">
        <v>581</v>
      </c>
      <c r="C197" s="2" t="str">
        <f t="shared" si="6"/>
        <v>Jun</v>
      </c>
      <c r="D197" s="2">
        <f t="shared" si="7"/>
        <v>2025</v>
      </c>
      <c r="E197" s="2" t="s">
        <v>582</v>
      </c>
      <c r="F197" s="2" t="s">
        <v>24</v>
      </c>
      <c r="G197" s="2" t="s">
        <v>25</v>
      </c>
      <c r="H197" s="2" t="s">
        <v>47</v>
      </c>
      <c r="I197" s="2">
        <v>11205.87</v>
      </c>
      <c r="J197" s="2">
        <v>8</v>
      </c>
      <c r="K197" s="2">
        <v>2511.58</v>
      </c>
      <c r="L197" s="2"/>
    </row>
    <row r="198" spans="1:12" x14ac:dyDescent="0.25">
      <c r="A198" s="2" t="s">
        <v>583</v>
      </c>
      <c r="B198" s="4" t="s">
        <v>16</v>
      </c>
      <c r="C198" s="2" t="str">
        <f t="shared" si="6"/>
        <v>Feb</v>
      </c>
      <c r="D198" s="2">
        <f t="shared" si="7"/>
        <v>2025</v>
      </c>
      <c r="E198" s="2" t="s">
        <v>584</v>
      </c>
      <c r="F198" s="2" t="s">
        <v>12</v>
      </c>
      <c r="G198" s="2" t="s">
        <v>25</v>
      </c>
      <c r="H198" s="2" t="s">
        <v>169</v>
      </c>
      <c r="I198" s="2">
        <v>30127.07</v>
      </c>
      <c r="J198" s="2">
        <v>1</v>
      </c>
      <c r="K198" s="2">
        <v>3153.85</v>
      </c>
      <c r="L198" s="2"/>
    </row>
    <row r="199" spans="1:12" x14ac:dyDescent="0.25">
      <c r="A199" s="2" t="s">
        <v>585</v>
      </c>
      <c r="B199" s="4" t="s">
        <v>586</v>
      </c>
      <c r="C199" s="2" t="str">
        <f t="shared" si="6"/>
        <v>Jan</v>
      </c>
      <c r="D199" s="2">
        <f t="shared" si="7"/>
        <v>2025</v>
      </c>
      <c r="E199" s="2" t="s">
        <v>587</v>
      </c>
      <c r="F199" s="2" t="s">
        <v>34</v>
      </c>
      <c r="G199" s="2" t="s">
        <v>19</v>
      </c>
      <c r="H199" s="2" t="s">
        <v>101</v>
      </c>
      <c r="I199" s="2">
        <v>31311.55</v>
      </c>
      <c r="J199" s="2">
        <v>1</v>
      </c>
      <c r="K199" s="2">
        <v>4474.8500000000004</v>
      </c>
      <c r="L199" s="2"/>
    </row>
    <row r="200" spans="1:12" x14ac:dyDescent="0.25">
      <c r="A200" s="2" t="s">
        <v>588</v>
      </c>
      <c r="B200" s="4" t="s">
        <v>589</v>
      </c>
      <c r="C200" s="2" t="str">
        <f t="shared" si="6"/>
        <v>Jan</v>
      </c>
      <c r="D200" s="2">
        <f t="shared" si="7"/>
        <v>2025</v>
      </c>
      <c r="E200" s="2" t="s">
        <v>590</v>
      </c>
      <c r="F200" s="2" t="s">
        <v>38</v>
      </c>
      <c r="G200" s="2" t="s">
        <v>25</v>
      </c>
      <c r="H200" s="2" t="s">
        <v>47</v>
      </c>
      <c r="I200" s="2">
        <v>42525.19</v>
      </c>
      <c r="J200" s="2">
        <v>10</v>
      </c>
      <c r="K200" s="2">
        <v>11257.43</v>
      </c>
      <c r="L200" s="2"/>
    </row>
    <row r="201" spans="1:12" x14ac:dyDescent="0.25">
      <c r="A201" s="2" t="s">
        <v>591</v>
      </c>
      <c r="B201" s="4" t="s">
        <v>592</v>
      </c>
      <c r="C201" s="2" t="str">
        <f t="shared" si="6"/>
        <v>Apr</v>
      </c>
      <c r="D201" s="2">
        <f t="shared" si="7"/>
        <v>2025</v>
      </c>
      <c r="E201" s="2" t="s">
        <v>593</v>
      </c>
      <c r="F201" s="2" t="s">
        <v>42</v>
      </c>
      <c r="G201" s="2" t="s">
        <v>25</v>
      </c>
      <c r="H201" s="2" t="s">
        <v>47</v>
      </c>
      <c r="I201" s="2">
        <v>35262.6</v>
      </c>
      <c r="J201" s="2">
        <v>4</v>
      </c>
      <c r="K201" s="2">
        <v>6131.61</v>
      </c>
      <c r="L201" s="2"/>
    </row>
    <row r="202" spans="1:12" x14ac:dyDescent="0.25">
      <c r="A202" s="2" t="s">
        <v>594</v>
      </c>
      <c r="B202" s="4" t="s">
        <v>595</v>
      </c>
      <c r="C202" s="2" t="str">
        <f t="shared" si="6"/>
        <v>Mar</v>
      </c>
      <c r="D202" s="2">
        <f t="shared" si="7"/>
        <v>2025</v>
      </c>
      <c r="E202" s="2" t="s">
        <v>596</v>
      </c>
      <c r="F202" s="2" t="s">
        <v>97</v>
      </c>
      <c r="G202" s="2" t="s">
        <v>13</v>
      </c>
      <c r="H202" s="2" t="s">
        <v>30</v>
      </c>
      <c r="I202" s="2">
        <v>47370.239999999998</v>
      </c>
      <c r="J202" s="2">
        <v>7</v>
      </c>
      <c r="K202" s="2">
        <v>463.41</v>
      </c>
      <c r="L202" s="2"/>
    </row>
    <row r="203" spans="1:12" x14ac:dyDescent="0.25">
      <c r="A203" s="2" t="s">
        <v>597</v>
      </c>
      <c r="B203" s="4" t="s">
        <v>106</v>
      </c>
      <c r="C203" s="2" t="str">
        <f t="shared" si="6"/>
        <v>Jun</v>
      </c>
      <c r="D203" s="2">
        <f t="shared" si="7"/>
        <v>2025</v>
      </c>
      <c r="E203" s="2" t="s">
        <v>598</v>
      </c>
      <c r="F203" s="2" t="s">
        <v>38</v>
      </c>
      <c r="G203" s="2" t="s">
        <v>54</v>
      </c>
      <c r="H203" s="2" t="s">
        <v>84</v>
      </c>
      <c r="I203" s="2">
        <v>12785.32</v>
      </c>
      <c r="J203" s="2">
        <v>6</v>
      </c>
      <c r="K203" s="2">
        <v>2664.91</v>
      </c>
      <c r="L203" s="2"/>
    </row>
    <row r="204" spans="1:12" x14ac:dyDescent="0.25">
      <c r="A204" s="2" t="s">
        <v>599</v>
      </c>
      <c r="B204" s="4" t="s">
        <v>600</v>
      </c>
      <c r="C204" s="2" t="str">
        <f t="shared" si="6"/>
        <v>Dec</v>
      </c>
      <c r="D204" s="2">
        <f t="shared" si="7"/>
        <v>2025</v>
      </c>
      <c r="E204" s="2" t="s">
        <v>601</v>
      </c>
      <c r="F204" s="2" t="s">
        <v>97</v>
      </c>
      <c r="G204" s="2" t="s">
        <v>13</v>
      </c>
      <c r="H204" s="2" t="s">
        <v>121</v>
      </c>
      <c r="I204" s="2">
        <v>4754.76</v>
      </c>
      <c r="J204" s="2">
        <v>2</v>
      </c>
      <c r="K204" s="2">
        <v>928</v>
      </c>
      <c r="L204" s="2"/>
    </row>
    <row r="205" spans="1:12" x14ac:dyDescent="0.25">
      <c r="A205" s="2" t="s">
        <v>602</v>
      </c>
      <c r="B205" s="4" t="s">
        <v>603</v>
      </c>
      <c r="C205" s="2" t="str">
        <f t="shared" si="6"/>
        <v>Oct</v>
      </c>
      <c r="D205" s="2">
        <f t="shared" si="7"/>
        <v>2025</v>
      </c>
      <c r="E205" s="2" t="s">
        <v>604</v>
      </c>
      <c r="F205" s="2" t="s">
        <v>18</v>
      </c>
      <c r="G205" s="2" t="s">
        <v>13</v>
      </c>
      <c r="H205" s="2" t="s">
        <v>14</v>
      </c>
      <c r="I205" s="2">
        <v>16603.349999999999</v>
      </c>
      <c r="J205" s="2">
        <v>8</v>
      </c>
      <c r="K205" s="2">
        <v>4316.91</v>
      </c>
      <c r="L205" s="2"/>
    </row>
    <row r="206" spans="1:12" x14ac:dyDescent="0.25">
      <c r="A206" s="2" t="s">
        <v>605</v>
      </c>
      <c r="B206" s="4" t="s">
        <v>378</v>
      </c>
      <c r="C206" s="2" t="str">
        <f t="shared" si="6"/>
        <v>Sep</v>
      </c>
      <c r="D206" s="2">
        <f t="shared" si="7"/>
        <v>2025</v>
      </c>
      <c r="E206" s="2" t="s">
        <v>606</v>
      </c>
      <c r="F206" s="2" t="s">
        <v>18</v>
      </c>
      <c r="G206" s="2" t="s">
        <v>54</v>
      </c>
      <c r="H206" s="2" t="s">
        <v>84</v>
      </c>
      <c r="I206" s="2">
        <v>47045.88</v>
      </c>
      <c r="J206" s="2">
        <v>1</v>
      </c>
      <c r="K206" s="2">
        <v>5902.9</v>
      </c>
      <c r="L206" s="2"/>
    </row>
    <row r="207" spans="1:12" x14ac:dyDescent="0.25">
      <c r="A207" s="2" t="s">
        <v>607</v>
      </c>
      <c r="B207" s="4" t="s">
        <v>180</v>
      </c>
      <c r="C207" s="2" t="str">
        <f t="shared" si="6"/>
        <v>Jan</v>
      </c>
      <c r="D207" s="2">
        <f t="shared" si="7"/>
        <v>2025</v>
      </c>
      <c r="E207" s="2" t="s">
        <v>608</v>
      </c>
      <c r="F207" s="2" t="s">
        <v>34</v>
      </c>
      <c r="G207" s="2" t="s">
        <v>13</v>
      </c>
      <c r="H207" s="2" t="s">
        <v>30</v>
      </c>
      <c r="I207" s="2">
        <v>13162.48</v>
      </c>
      <c r="J207" s="2">
        <v>4</v>
      </c>
      <c r="K207" s="2">
        <v>3293.38</v>
      </c>
      <c r="L207" s="2"/>
    </row>
    <row r="208" spans="1:12" x14ac:dyDescent="0.25">
      <c r="A208" s="2" t="s">
        <v>609</v>
      </c>
      <c r="B208" s="4" t="s">
        <v>610</v>
      </c>
      <c r="C208" s="2" t="str">
        <f t="shared" si="6"/>
        <v>Aug</v>
      </c>
      <c r="D208" s="2">
        <f t="shared" si="7"/>
        <v>2025</v>
      </c>
      <c r="E208" s="2" t="s">
        <v>611</v>
      </c>
      <c r="F208" s="2" t="s">
        <v>12</v>
      </c>
      <c r="G208" s="2" t="s">
        <v>54</v>
      </c>
      <c r="H208" s="2" t="s">
        <v>111</v>
      </c>
      <c r="I208" s="2">
        <v>40801.599999999999</v>
      </c>
      <c r="J208" s="2">
        <v>4</v>
      </c>
      <c r="K208" s="2">
        <v>8239.32</v>
      </c>
      <c r="L208" s="2"/>
    </row>
    <row r="209" spans="1:12" x14ac:dyDescent="0.25">
      <c r="A209" s="2" t="s">
        <v>612</v>
      </c>
      <c r="B209" s="4" t="s">
        <v>613</v>
      </c>
      <c r="C209" s="2" t="str">
        <f t="shared" si="6"/>
        <v>May</v>
      </c>
      <c r="D209" s="2">
        <f t="shared" si="7"/>
        <v>2025</v>
      </c>
      <c r="E209" s="2" t="s">
        <v>614</v>
      </c>
      <c r="F209" s="2" t="s">
        <v>38</v>
      </c>
      <c r="G209" s="2" t="s">
        <v>54</v>
      </c>
      <c r="H209" s="2" t="s">
        <v>55</v>
      </c>
      <c r="I209" s="2">
        <v>13734.3</v>
      </c>
      <c r="J209" s="2">
        <v>10</v>
      </c>
      <c r="K209" s="2">
        <v>3735.83</v>
      </c>
      <c r="L209" s="2"/>
    </row>
    <row r="210" spans="1:12" x14ac:dyDescent="0.25">
      <c r="A210" s="2" t="s">
        <v>615</v>
      </c>
      <c r="B210" s="4" t="s">
        <v>616</v>
      </c>
      <c r="C210" s="2" t="str">
        <f t="shared" si="6"/>
        <v>Mar</v>
      </c>
      <c r="D210" s="2">
        <f t="shared" si="7"/>
        <v>2025</v>
      </c>
      <c r="E210" s="2" t="s">
        <v>617</v>
      </c>
      <c r="F210" s="2" t="s">
        <v>97</v>
      </c>
      <c r="G210" s="2" t="s">
        <v>25</v>
      </c>
      <c r="H210" s="2" t="s">
        <v>47</v>
      </c>
      <c r="I210" s="2">
        <v>26708.53</v>
      </c>
      <c r="J210" s="2">
        <v>1</v>
      </c>
      <c r="K210" s="2">
        <v>-1287.75</v>
      </c>
      <c r="L210" s="2"/>
    </row>
    <row r="211" spans="1:12" x14ac:dyDescent="0.25">
      <c r="A211" s="2" t="s">
        <v>618</v>
      </c>
      <c r="B211" s="4" t="s">
        <v>361</v>
      </c>
      <c r="C211" s="2" t="str">
        <f t="shared" si="6"/>
        <v>Dec</v>
      </c>
      <c r="D211" s="2">
        <f t="shared" si="7"/>
        <v>2025</v>
      </c>
      <c r="E211" s="2" t="s">
        <v>619</v>
      </c>
      <c r="F211" s="2" t="s">
        <v>12</v>
      </c>
      <c r="G211" s="2" t="s">
        <v>54</v>
      </c>
      <c r="H211" s="2" t="s">
        <v>55</v>
      </c>
      <c r="I211" s="2">
        <v>3639.24</v>
      </c>
      <c r="J211" s="2">
        <v>6</v>
      </c>
      <c r="K211" s="2">
        <v>479.48</v>
      </c>
      <c r="L211" s="2"/>
    </row>
    <row r="212" spans="1:12" x14ac:dyDescent="0.25">
      <c r="A212" s="2" t="s">
        <v>620</v>
      </c>
      <c r="B212" s="4" t="s">
        <v>621</v>
      </c>
      <c r="C212" s="2" t="str">
        <f t="shared" si="6"/>
        <v>Nov</v>
      </c>
      <c r="D212" s="2">
        <f t="shared" si="7"/>
        <v>2025</v>
      </c>
      <c r="E212" s="2" t="s">
        <v>622</v>
      </c>
      <c r="F212" s="2" t="s">
        <v>12</v>
      </c>
      <c r="G212" s="2" t="s">
        <v>13</v>
      </c>
      <c r="H212" s="2" t="s">
        <v>73</v>
      </c>
      <c r="I212" s="2">
        <v>44445.440000000002</v>
      </c>
      <c r="J212" s="2">
        <v>5</v>
      </c>
      <c r="K212" s="2">
        <v>13161.37</v>
      </c>
      <c r="L212" s="2"/>
    </row>
    <row r="213" spans="1:12" x14ac:dyDescent="0.25">
      <c r="A213" s="2" t="s">
        <v>623</v>
      </c>
      <c r="B213" s="4" t="s">
        <v>32</v>
      </c>
      <c r="C213" s="2" t="str">
        <f t="shared" si="6"/>
        <v>May</v>
      </c>
      <c r="D213" s="2">
        <f t="shared" si="7"/>
        <v>2025</v>
      </c>
      <c r="E213" s="2" t="s">
        <v>624</v>
      </c>
      <c r="F213" s="2" t="s">
        <v>42</v>
      </c>
      <c r="G213" s="2" t="s">
        <v>19</v>
      </c>
      <c r="H213" s="2" t="s">
        <v>63</v>
      </c>
      <c r="I213" s="2">
        <v>45945.21</v>
      </c>
      <c r="J213" s="2">
        <v>3</v>
      </c>
      <c r="K213" s="2">
        <v>-1205.97</v>
      </c>
      <c r="L213" s="2"/>
    </row>
    <row r="214" spans="1:12" x14ac:dyDescent="0.25">
      <c r="A214" s="2" t="s">
        <v>625</v>
      </c>
      <c r="B214" s="4" t="s">
        <v>626</v>
      </c>
      <c r="C214" s="2" t="str">
        <f t="shared" si="6"/>
        <v>Jul</v>
      </c>
      <c r="D214" s="2">
        <f t="shared" si="7"/>
        <v>2025</v>
      </c>
      <c r="E214" s="2" t="s">
        <v>627</v>
      </c>
      <c r="F214" s="2" t="s">
        <v>42</v>
      </c>
      <c r="G214" s="2" t="s">
        <v>54</v>
      </c>
      <c r="H214" s="2" t="s">
        <v>55</v>
      </c>
      <c r="I214" s="2">
        <v>28404.959999999999</v>
      </c>
      <c r="J214" s="2">
        <v>9</v>
      </c>
      <c r="K214" s="2">
        <v>2575.2800000000002</v>
      </c>
      <c r="L214" s="2"/>
    </row>
    <row r="215" spans="1:12" x14ac:dyDescent="0.25">
      <c r="A215" s="2" t="s">
        <v>628</v>
      </c>
      <c r="B215" s="4" t="s">
        <v>629</v>
      </c>
      <c r="C215" s="2" t="str">
        <f t="shared" si="6"/>
        <v>Feb</v>
      </c>
      <c r="D215" s="2">
        <f t="shared" si="7"/>
        <v>2025</v>
      </c>
      <c r="E215" s="2" t="s">
        <v>630</v>
      </c>
      <c r="F215" s="2" t="s">
        <v>97</v>
      </c>
      <c r="G215" s="2" t="s">
        <v>25</v>
      </c>
      <c r="H215" s="2" t="s">
        <v>26</v>
      </c>
      <c r="I215" s="2">
        <v>35241.49</v>
      </c>
      <c r="J215" s="2">
        <v>1</v>
      </c>
      <c r="K215" s="2">
        <v>3049.39</v>
      </c>
      <c r="L215" s="2"/>
    </row>
    <row r="216" spans="1:12" x14ac:dyDescent="0.25">
      <c r="A216" s="2" t="s">
        <v>631</v>
      </c>
      <c r="B216" s="4" t="s">
        <v>306</v>
      </c>
      <c r="C216" s="2" t="str">
        <f t="shared" si="6"/>
        <v>Nov</v>
      </c>
      <c r="D216" s="2">
        <f t="shared" si="7"/>
        <v>2025</v>
      </c>
      <c r="E216" s="2" t="s">
        <v>632</v>
      </c>
      <c r="F216" s="2" t="s">
        <v>34</v>
      </c>
      <c r="G216" s="2" t="s">
        <v>54</v>
      </c>
      <c r="H216" s="2" t="s">
        <v>55</v>
      </c>
      <c r="I216" s="2">
        <v>37701.050000000003</v>
      </c>
      <c r="J216" s="2">
        <v>3</v>
      </c>
      <c r="K216" s="2">
        <v>9725</v>
      </c>
      <c r="L216" s="2"/>
    </row>
    <row r="217" spans="1:12" x14ac:dyDescent="0.25">
      <c r="A217" s="2" t="s">
        <v>633</v>
      </c>
      <c r="B217" s="4" t="s">
        <v>472</v>
      </c>
      <c r="C217" s="2" t="str">
        <f t="shared" si="6"/>
        <v>Jul</v>
      </c>
      <c r="D217" s="2">
        <f t="shared" si="7"/>
        <v>2025</v>
      </c>
      <c r="E217" s="2" t="s">
        <v>634</v>
      </c>
      <c r="F217" s="2" t="s">
        <v>38</v>
      </c>
      <c r="G217" s="2" t="s">
        <v>54</v>
      </c>
      <c r="H217" s="2" t="s">
        <v>111</v>
      </c>
      <c r="I217" s="2">
        <v>14892.9</v>
      </c>
      <c r="J217" s="2">
        <v>10</v>
      </c>
      <c r="K217" s="2">
        <v>1950.82</v>
      </c>
      <c r="L217" s="2"/>
    </row>
    <row r="218" spans="1:12" x14ac:dyDescent="0.25">
      <c r="A218" s="2" t="s">
        <v>635</v>
      </c>
      <c r="B218" s="4" t="s">
        <v>226</v>
      </c>
      <c r="C218" s="2" t="str">
        <f t="shared" si="6"/>
        <v>Feb</v>
      </c>
      <c r="D218" s="2">
        <f t="shared" si="7"/>
        <v>2025</v>
      </c>
      <c r="E218" s="2" t="s">
        <v>636</v>
      </c>
      <c r="F218" s="2" t="s">
        <v>24</v>
      </c>
      <c r="G218" s="2" t="s">
        <v>13</v>
      </c>
      <c r="H218" s="2" t="s">
        <v>14</v>
      </c>
      <c r="I218" s="2">
        <v>38973.760000000002</v>
      </c>
      <c r="J218" s="2">
        <v>4</v>
      </c>
      <c r="K218" s="2">
        <v>4258.54</v>
      </c>
      <c r="L218" s="2"/>
    </row>
    <row r="219" spans="1:12" x14ac:dyDescent="0.25">
      <c r="A219" s="2" t="s">
        <v>637</v>
      </c>
      <c r="B219" s="4" t="s">
        <v>126</v>
      </c>
      <c r="C219" s="2" t="str">
        <f t="shared" si="6"/>
        <v>Sep</v>
      </c>
      <c r="D219" s="2">
        <f t="shared" si="7"/>
        <v>2025</v>
      </c>
      <c r="E219" s="2" t="s">
        <v>638</v>
      </c>
      <c r="F219" s="2" t="s">
        <v>34</v>
      </c>
      <c r="G219" s="2" t="s">
        <v>25</v>
      </c>
      <c r="H219" s="2" t="s">
        <v>26</v>
      </c>
      <c r="I219" s="2">
        <v>39239.58</v>
      </c>
      <c r="J219" s="2">
        <v>7</v>
      </c>
      <c r="K219" s="2">
        <v>1132.1099999999999</v>
      </c>
      <c r="L219" s="2"/>
    </row>
    <row r="220" spans="1:12" x14ac:dyDescent="0.25">
      <c r="A220" s="2" t="s">
        <v>639</v>
      </c>
      <c r="B220" s="4" t="s">
        <v>498</v>
      </c>
      <c r="C220" s="2" t="str">
        <f t="shared" si="6"/>
        <v>Oct</v>
      </c>
      <c r="D220" s="2">
        <f t="shared" si="7"/>
        <v>2025</v>
      </c>
      <c r="E220" s="2" t="s">
        <v>640</v>
      </c>
      <c r="F220" s="2" t="s">
        <v>12</v>
      </c>
      <c r="G220" s="2" t="s">
        <v>19</v>
      </c>
      <c r="H220" s="2" t="s">
        <v>63</v>
      </c>
      <c r="I220" s="2">
        <v>45400.73</v>
      </c>
      <c r="J220" s="2">
        <v>2</v>
      </c>
      <c r="K220" s="2">
        <v>-1263.6500000000001</v>
      </c>
      <c r="L220" s="2"/>
    </row>
    <row r="221" spans="1:12" x14ac:dyDescent="0.25">
      <c r="A221" s="2" t="s">
        <v>641</v>
      </c>
      <c r="B221" s="4" t="s">
        <v>642</v>
      </c>
      <c r="C221" s="2" t="str">
        <f t="shared" si="6"/>
        <v>Oct</v>
      </c>
      <c r="D221" s="2">
        <f t="shared" si="7"/>
        <v>2025</v>
      </c>
      <c r="E221" s="2" t="s">
        <v>643</v>
      </c>
      <c r="F221" s="2" t="s">
        <v>42</v>
      </c>
      <c r="G221" s="2" t="s">
        <v>54</v>
      </c>
      <c r="H221" s="2" t="s">
        <v>55</v>
      </c>
      <c r="I221" s="2">
        <v>2183.9499999999998</v>
      </c>
      <c r="J221" s="2">
        <v>7</v>
      </c>
      <c r="K221" s="2">
        <v>-65.98</v>
      </c>
      <c r="L221" s="2"/>
    </row>
    <row r="222" spans="1:12" x14ac:dyDescent="0.25">
      <c r="A222" s="2" t="s">
        <v>644</v>
      </c>
      <c r="B222" s="4" t="s">
        <v>645</v>
      </c>
      <c r="C222" s="2" t="str">
        <f t="shared" si="6"/>
        <v>Dec</v>
      </c>
      <c r="D222" s="2">
        <f t="shared" si="7"/>
        <v>2025</v>
      </c>
      <c r="E222" s="2" t="s">
        <v>646</v>
      </c>
      <c r="F222" s="2" t="s">
        <v>12</v>
      </c>
      <c r="G222" s="2" t="s">
        <v>19</v>
      </c>
      <c r="H222" s="2" t="s">
        <v>59</v>
      </c>
      <c r="I222" s="2">
        <v>37759.21</v>
      </c>
      <c r="J222" s="2">
        <v>8</v>
      </c>
      <c r="K222" s="2">
        <v>4006.84</v>
      </c>
      <c r="L222" s="2"/>
    </row>
    <row r="223" spans="1:12" x14ac:dyDescent="0.25">
      <c r="A223" s="2" t="s">
        <v>647</v>
      </c>
      <c r="B223" s="4" t="s">
        <v>171</v>
      </c>
      <c r="C223" s="2" t="str">
        <f t="shared" si="6"/>
        <v>Jun</v>
      </c>
      <c r="D223" s="2">
        <f t="shared" si="7"/>
        <v>2025</v>
      </c>
      <c r="E223" s="2" t="s">
        <v>648</v>
      </c>
      <c r="F223" s="2" t="s">
        <v>42</v>
      </c>
      <c r="G223" s="2" t="s">
        <v>25</v>
      </c>
      <c r="H223" s="2" t="s">
        <v>169</v>
      </c>
      <c r="I223" s="2">
        <v>27604.28</v>
      </c>
      <c r="J223" s="2">
        <v>1</v>
      </c>
      <c r="K223" s="2">
        <v>370.59</v>
      </c>
      <c r="L223" s="2"/>
    </row>
    <row r="224" spans="1:12" x14ac:dyDescent="0.25">
      <c r="A224" s="2" t="s">
        <v>649</v>
      </c>
      <c r="B224" s="4" t="s">
        <v>650</v>
      </c>
      <c r="C224" s="2" t="str">
        <f t="shared" si="6"/>
        <v>Jan</v>
      </c>
      <c r="D224" s="2">
        <f t="shared" si="7"/>
        <v>2025</v>
      </c>
      <c r="E224" s="2" t="s">
        <v>651</v>
      </c>
      <c r="F224" s="2" t="s">
        <v>12</v>
      </c>
      <c r="G224" s="2" t="s">
        <v>13</v>
      </c>
      <c r="H224" s="2" t="s">
        <v>77</v>
      </c>
      <c r="I224" s="2">
        <v>25178.45</v>
      </c>
      <c r="J224" s="2">
        <v>5</v>
      </c>
      <c r="K224" s="2">
        <v>-756.14</v>
      </c>
      <c r="L224" s="2"/>
    </row>
    <row r="225" spans="1:12" x14ac:dyDescent="0.25">
      <c r="A225" s="2" t="s">
        <v>652</v>
      </c>
      <c r="B225" s="4" t="s">
        <v>653</v>
      </c>
      <c r="C225" s="2" t="str">
        <f t="shared" si="6"/>
        <v>Jul</v>
      </c>
      <c r="D225" s="2">
        <f t="shared" si="7"/>
        <v>2025</v>
      </c>
      <c r="E225" s="2" t="s">
        <v>654</v>
      </c>
      <c r="F225" s="2" t="s">
        <v>18</v>
      </c>
      <c r="G225" s="2" t="s">
        <v>54</v>
      </c>
      <c r="H225" s="2" t="s">
        <v>190</v>
      </c>
      <c r="I225" s="2">
        <v>26479.34</v>
      </c>
      <c r="J225" s="2">
        <v>10</v>
      </c>
      <c r="K225" s="2">
        <v>4287.1400000000003</v>
      </c>
      <c r="L225" s="2"/>
    </row>
    <row r="226" spans="1:12" x14ac:dyDescent="0.25">
      <c r="A226" s="2" t="s">
        <v>655</v>
      </c>
      <c r="B226" s="4" t="s">
        <v>656</v>
      </c>
      <c r="C226" s="2" t="str">
        <f t="shared" si="6"/>
        <v>Jan</v>
      </c>
      <c r="D226" s="2">
        <f t="shared" si="7"/>
        <v>2025</v>
      </c>
      <c r="E226" s="2" t="s">
        <v>657</v>
      </c>
      <c r="F226" s="2" t="s">
        <v>34</v>
      </c>
      <c r="G226" s="2" t="s">
        <v>25</v>
      </c>
      <c r="H226" s="2" t="s">
        <v>26</v>
      </c>
      <c r="I226" s="2">
        <v>12261</v>
      </c>
      <c r="J226" s="2">
        <v>10</v>
      </c>
      <c r="K226" s="2">
        <v>2546.2600000000002</v>
      </c>
      <c r="L226" s="2"/>
    </row>
    <row r="227" spans="1:12" x14ac:dyDescent="0.25">
      <c r="A227" s="2" t="s">
        <v>658</v>
      </c>
      <c r="B227" s="4" t="s">
        <v>375</v>
      </c>
      <c r="C227" s="2" t="str">
        <f t="shared" si="6"/>
        <v>Oct</v>
      </c>
      <c r="D227" s="2">
        <f t="shared" si="7"/>
        <v>2025</v>
      </c>
      <c r="E227" s="2" t="s">
        <v>659</v>
      </c>
      <c r="F227" s="2" t="s">
        <v>38</v>
      </c>
      <c r="G227" s="2" t="s">
        <v>54</v>
      </c>
      <c r="H227" s="2" t="s">
        <v>138</v>
      </c>
      <c r="I227" s="2">
        <v>33920.370000000003</v>
      </c>
      <c r="J227" s="2">
        <v>10</v>
      </c>
      <c r="K227" s="2">
        <v>479.66</v>
      </c>
      <c r="L227" s="2"/>
    </row>
    <row r="228" spans="1:12" x14ac:dyDescent="0.25">
      <c r="A228" s="2" t="s">
        <v>660</v>
      </c>
      <c r="B228" s="4" t="s">
        <v>661</v>
      </c>
      <c r="C228" s="2" t="str">
        <f t="shared" si="6"/>
        <v>Mar</v>
      </c>
      <c r="D228" s="2">
        <f t="shared" si="7"/>
        <v>2025</v>
      </c>
      <c r="E228" s="2" t="s">
        <v>662</v>
      </c>
      <c r="F228" s="2" t="s">
        <v>38</v>
      </c>
      <c r="G228" s="2" t="s">
        <v>13</v>
      </c>
      <c r="H228" s="2" t="s">
        <v>73</v>
      </c>
      <c r="I228" s="2">
        <v>46764.160000000003</v>
      </c>
      <c r="J228" s="2">
        <v>2</v>
      </c>
      <c r="K228" s="2">
        <v>7835.57</v>
      </c>
      <c r="L228" s="2"/>
    </row>
    <row r="229" spans="1:12" x14ac:dyDescent="0.25">
      <c r="A229" s="2" t="s">
        <v>663</v>
      </c>
      <c r="B229" s="4" t="s">
        <v>664</v>
      </c>
      <c r="C229" s="2" t="str">
        <f t="shared" si="6"/>
        <v>Aug</v>
      </c>
      <c r="D229" s="2">
        <f t="shared" si="7"/>
        <v>2025</v>
      </c>
      <c r="E229" s="2" t="s">
        <v>665</v>
      </c>
      <c r="F229" s="2" t="s">
        <v>18</v>
      </c>
      <c r="G229" s="2" t="s">
        <v>19</v>
      </c>
      <c r="H229" s="2" t="s">
        <v>59</v>
      </c>
      <c r="I229" s="2">
        <v>2710.22</v>
      </c>
      <c r="J229" s="2">
        <v>2</v>
      </c>
      <c r="K229" s="2">
        <v>38</v>
      </c>
      <c r="L229" s="2"/>
    </row>
    <row r="230" spans="1:12" x14ac:dyDescent="0.25">
      <c r="A230" s="2" t="s">
        <v>666</v>
      </c>
      <c r="B230" s="4" t="s">
        <v>481</v>
      </c>
      <c r="C230" s="2" t="str">
        <f t="shared" si="6"/>
        <v>Aug</v>
      </c>
      <c r="D230" s="2">
        <f t="shared" si="7"/>
        <v>2025</v>
      </c>
      <c r="E230" s="2" t="s">
        <v>667</v>
      </c>
      <c r="F230" s="2" t="s">
        <v>12</v>
      </c>
      <c r="G230" s="2" t="s">
        <v>54</v>
      </c>
      <c r="H230" s="2" t="s">
        <v>190</v>
      </c>
      <c r="I230" s="2">
        <v>705.6</v>
      </c>
      <c r="J230" s="2">
        <v>2</v>
      </c>
      <c r="K230" s="2">
        <v>144.94</v>
      </c>
      <c r="L230" s="2"/>
    </row>
    <row r="231" spans="1:12" x14ac:dyDescent="0.25">
      <c r="A231" s="2" t="s">
        <v>668</v>
      </c>
      <c r="B231" s="4" t="s">
        <v>217</v>
      </c>
      <c r="C231" s="2" t="str">
        <f t="shared" si="6"/>
        <v>Mar</v>
      </c>
      <c r="D231" s="2">
        <f t="shared" si="7"/>
        <v>2025</v>
      </c>
      <c r="E231" s="2" t="s">
        <v>669</v>
      </c>
      <c r="F231" s="2" t="s">
        <v>42</v>
      </c>
      <c r="G231" s="2" t="s">
        <v>13</v>
      </c>
      <c r="H231" s="2" t="s">
        <v>14</v>
      </c>
      <c r="I231" s="2">
        <v>30224.16</v>
      </c>
      <c r="J231" s="2">
        <v>6</v>
      </c>
      <c r="K231" s="2">
        <v>6296.39</v>
      </c>
      <c r="L231" s="2"/>
    </row>
    <row r="232" spans="1:12" x14ac:dyDescent="0.25">
      <c r="A232" s="2" t="s">
        <v>670</v>
      </c>
      <c r="B232" s="4" t="s">
        <v>671</v>
      </c>
      <c r="C232" s="2" t="str">
        <f t="shared" si="6"/>
        <v>Oct</v>
      </c>
      <c r="D232" s="2">
        <f t="shared" si="7"/>
        <v>2025</v>
      </c>
      <c r="E232" s="2" t="s">
        <v>672</v>
      </c>
      <c r="F232" s="2" t="s">
        <v>18</v>
      </c>
      <c r="G232" s="2" t="s">
        <v>25</v>
      </c>
      <c r="H232" s="2" t="s">
        <v>365</v>
      </c>
      <c r="I232" s="2">
        <v>34390.22</v>
      </c>
      <c r="J232" s="2">
        <v>2</v>
      </c>
      <c r="K232" s="2">
        <v>6881.13</v>
      </c>
      <c r="L232" s="2"/>
    </row>
    <row r="233" spans="1:12" x14ac:dyDescent="0.25">
      <c r="A233" s="2" t="s">
        <v>673</v>
      </c>
      <c r="B233" s="4" t="s">
        <v>674</v>
      </c>
      <c r="C233" s="2" t="str">
        <f t="shared" si="6"/>
        <v>May</v>
      </c>
      <c r="D233" s="2">
        <f t="shared" si="7"/>
        <v>2025</v>
      </c>
      <c r="E233" s="2" t="s">
        <v>675</v>
      </c>
      <c r="F233" s="2" t="s">
        <v>42</v>
      </c>
      <c r="G233" s="2" t="s">
        <v>13</v>
      </c>
      <c r="H233" s="2" t="s">
        <v>77</v>
      </c>
      <c r="I233" s="2">
        <v>3501.77</v>
      </c>
      <c r="J233" s="2">
        <v>8</v>
      </c>
      <c r="K233" s="2">
        <v>562.38</v>
      </c>
      <c r="L233" s="2"/>
    </row>
    <row r="234" spans="1:12" x14ac:dyDescent="0.25">
      <c r="A234" s="2" t="s">
        <v>676</v>
      </c>
      <c r="B234" s="4" t="s">
        <v>677</v>
      </c>
      <c r="C234" s="2" t="str">
        <f t="shared" si="6"/>
        <v>Oct</v>
      </c>
      <c r="D234" s="2">
        <f t="shared" si="7"/>
        <v>2025</v>
      </c>
      <c r="E234" s="2" t="s">
        <v>678</v>
      </c>
      <c r="F234" s="2" t="s">
        <v>12</v>
      </c>
      <c r="G234" s="2" t="s">
        <v>19</v>
      </c>
      <c r="H234" s="2" t="s">
        <v>63</v>
      </c>
      <c r="I234" s="2">
        <v>4332.83</v>
      </c>
      <c r="J234" s="2">
        <v>10</v>
      </c>
      <c r="K234" s="2">
        <v>1170.1500000000001</v>
      </c>
      <c r="L234" s="2"/>
    </row>
    <row r="235" spans="1:12" x14ac:dyDescent="0.25">
      <c r="A235" s="2" t="s">
        <v>679</v>
      </c>
      <c r="B235" s="4" t="s">
        <v>680</v>
      </c>
      <c r="C235" s="2" t="str">
        <f t="shared" si="6"/>
        <v>Nov</v>
      </c>
      <c r="D235" s="2">
        <f t="shared" si="7"/>
        <v>2025</v>
      </c>
      <c r="E235" s="2" t="s">
        <v>681</v>
      </c>
      <c r="F235" s="2" t="s">
        <v>42</v>
      </c>
      <c r="G235" s="2" t="s">
        <v>25</v>
      </c>
      <c r="H235" s="2" t="s">
        <v>154</v>
      </c>
      <c r="I235" s="2">
        <v>15756.96</v>
      </c>
      <c r="J235" s="2">
        <v>9</v>
      </c>
      <c r="K235" s="2">
        <v>616.41999999999996</v>
      </c>
      <c r="L235" s="2"/>
    </row>
    <row r="236" spans="1:12" x14ac:dyDescent="0.25">
      <c r="A236" s="2" t="s">
        <v>682</v>
      </c>
      <c r="B236" s="4" t="s">
        <v>683</v>
      </c>
      <c r="C236" s="2" t="str">
        <f t="shared" si="6"/>
        <v>Dec</v>
      </c>
      <c r="D236" s="2">
        <f t="shared" si="7"/>
        <v>2025</v>
      </c>
      <c r="E236" s="2" t="s">
        <v>684</v>
      </c>
      <c r="F236" s="2" t="s">
        <v>12</v>
      </c>
      <c r="G236" s="2" t="s">
        <v>13</v>
      </c>
      <c r="H236" s="2" t="s">
        <v>14</v>
      </c>
      <c r="I236" s="2">
        <v>7541.81</v>
      </c>
      <c r="J236" s="2">
        <v>9</v>
      </c>
      <c r="K236" s="2">
        <v>1784.8</v>
      </c>
      <c r="L236" s="2"/>
    </row>
    <row r="237" spans="1:12" x14ac:dyDescent="0.25">
      <c r="A237" s="2" t="s">
        <v>685</v>
      </c>
      <c r="B237" s="4" t="s">
        <v>686</v>
      </c>
      <c r="C237" s="2" t="str">
        <f t="shared" si="6"/>
        <v>Aug</v>
      </c>
      <c r="D237" s="2">
        <f t="shared" si="7"/>
        <v>2025</v>
      </c>
      <c r="E237" s="2" t="s">
        <v>687</v>
      </c>
      <c r="F237" s="2" t="s">
        <v>24</v>
      </c>
      <c r="G237" s="2" t="s">
        <v>13</v>
      </c>
      <c r="H237" s="2" t="s">
        <v>14</v>
      </c>
      <c r="I237" s="2">
        <v>34997.019999999997</v>
      </c>
      <c r="J237" s="2">
        <v>10</v>
      </c>
      <c r="K237" s="2">
        <v>7290.21</v>
      </c>
      <c r="L237" s="2"/>
    </row>
    <row r="238" spans="1:12" x14ac:dyDescent="0.25">
      <c r="A238" s="2" t="s">
        <v>688</v>
      </c>
      <c r="B238" s="4" t="s">
        <v>183</v>
      </c>
      <c r="C238" s="2" t="str">
        <f t="shared" si="6"/>
        <v>May</v>
      </c>
      <c r="D238" s="2">
        <f t="shared" si="7"/>
        <v>2025</v>
      </c>
      <c r="E238" s="2" t="s">
        <v>689</v>
      </c>
      <c r="F238" s="2" t="s">
        <v>12</v>
      </c>
      <c r="G238" s="2" t="s">
        <v>25</v>
      </c>
      <c r="H238" s="2" t="s">
        <v>47</v>
      </c>
      <c r="I238" s="2">
        <v>15564.44</v>
      </c>
      <c r="J238" s="2">
        <v>8</v>
      </c>
      <c r="K238" s="2">
        <v>182.21</v>
      </c>
      <c r="L238" s="2"/>
    </row>
    <row r="239" spans="1:12" x14ac:dyDescent="0.25">
      <c r="A239" s="2" t="s">
        <v>690</v>
      </c>
      <c r="B239" s="4" t="s">
        <v>691</v>
      </c>
      <c r="C239" s="2" t="str">
        <f t="shared" si="6"/>
        <v>Sep</v>
      </c>
      <c r="D239" s="2">
        <f t="shared" si="7"/>
        <v>2025</v>
      </c>
      <c r="E239" s="2" t="s">
        <v>692</v>
      </c>
      <c r="F239" s="2" t="s">
        <v>42</v>
      </c>
      <c r="G239" s="2" t="s">
        <v>13</v>
      </c>
      <c r="H239" s="2" t="s">
        <v>30</v>
      </c>
      <c r="I239" s="2">
        <v>41449.22</v>
      </c>
      <c r="J239" s="2">
        <v>9</v>
      </c>
      <c r="K239" s="2">
        <v>10781.88</v>
      </c>
      <c r="L239" s="2"/>
    </row>
    <row r="240" spans="1:12" x14ac:dyDescent="0.25">
      <c r="A240" s="2" t="s">
        <v>693</v>
      </c>
      <c r="B240" s="4" t="s">
        <v>694</v>
      </c>
      <c r="C240" s="2" t="str">
        <f t="shared" si="6"/>
        <v>Jan</v>
      </c>
      <c r="D240" s="2">
        <f t="shared" si="7"/>
        <v>2025</v>
      </c>
      <c r="E240" s="2" t="s">
        <v>695</v>
      </c>
      <c r="F240" s="2" t="s">
        <v>42</v>
      </c>
      <c r="G240" s="2" t="s">
        <v>13</v>
      </c>
      <c r="H240" s="2" t="s">
        <v>121</v>
      </c>
      <c r="I240" s="2">
        <v>37203.17</v>
      </c>
      <c r="J240" s="2">
        <v>2</v>
      </c>
      <c r="K240" s="2">
        <v>8772.7900000000009</v>
      </c>
      <c r="L240" s="2"/>
    </row>
    <row r="241" spans="1:12" x14ac:dyDescent="0.25">
      <c r="A241" s="2" t="s">
        <v>696</v>
      </c>
      <c r="B241" s="4" t="s">
        <v>697</v>
      </c>
      <c r="C241" s="2" t="str">
        <f t="shared" si="6"/>
        <v>Sep</v>
      </c>
      <c r="D241" s="2">
        <f t="shared" si="7"/>
        <v>2025</v>
      </c>
      <c r="E241" s="2" t="s">
        <v>698</v>
      </c>
      <c r="F241" s="2" t="s">
        <v>38</v>
      </c>
      <c r="G241" s="2" t="s">
        <v>19</v>
      </c>
      <c r="H241" s="2" t="s">
        <v>20</v>
      </c>
      <c r="I241" s="2">
        <v>6808.28</v>
      </c>
      <c r="J241" s="2">
        <v>8</v>
      </c>
      <c r="K241" s="2">
        <v>1891.31</v>
      </c>
      <c r="L241" s="2"/>
    </row>
    <row r="242" spans="1:12" x14ac:dyDescent="0.25">
      <c r="A242" s="2" t="s">
        <v>699</v>
      </c>
      <c r="B242" s="4" t="s">
        <v>353</v>
      </c>
      <c r="C242" s="2" t="str">
        <f t="shared" si="6"/>
        <v>Apr</v>
      </c>
      <c r="D242" s="2">
        <f t="shared" si="7"/>
        <v>2025</v>
      </c>
      <c r="E242" s="2" t="s">
        <v>700</v>
      </c>
      <c r="F242" s="2" t="s">
        <v>24</v>
      </c>
      <c r="G242" s="2" t="s">
        <v>54</v>
      </c>
      <c r="H242" s="2" t="s">
        <v>190</v>
      </c>
      <c r="I242" s="2">
        <v>40382.959999999999</v>
      </c>
      <c r="J242" s="2">
        <v>5</v>
      </c>
      <c r="K242" s="2">
        <v>6900.97</v>
      </c>
      <c r="L242" s="2"/>
    </row>
    <row r="243" spans="1:12" x14ac:dyDescent="0.25">
      <c r="A243" s="2" t="s">
        <v>701</v>
      </c>
      <c r="B243" s="4" t="s">
        <v>702</v>
      </c>
      <c r="C243" s="2" t="str">
        <f t="shared" si="6"/>
        <v>Sep</v>
      </c>
      <c r="D243" s="2">
        <f t="shared" si="7"/>
        <v>2025</v>
      </c>
      <c r="E243" s="2" t="s">
        <v>703</v>
      </c>
      <c r="F243" s="2" t="s">
        <v>97</v>
      </c>
      <c r="G243" s="2" t="s">
        <v>13</v>
      </c>
      <c r="H243" s="2" t="s">
        <v>14</v>
      </c>
      <c r="I243" s="2">
        <v>40410.83</v>
      </c>
      <c r="J243" s="2">
        <v>4</v>
      </c>
      <c r="K243" s="2">
        <v>9920.51</v>
      </c>
      <c r="L243" s="2"/>
    </row>
    <row r="244" spans="1:12" x14ac:dyDescent="0.25">
      <c r="A244" s="2" t="s">
        <v>704</v>
      </c>
      <c r="B244" s="4" t="s">
        <v>626</v>
      </c>
      <c r="C244" s="2" t="str">
        <f t="shared" si="6"/>
        <v>Jul</v>
      </c>
      <c r="D244" s="2">
        <f t="shared" si="7"/>
        <v>2025</v>
      </c>
      <c r="E244" s="2" t="s">
        <v>705</v>
      </c>
      <c r="F244" s="2" t="s">
        <v>34</v>
      </c>
      <c r="G244" s="2" t="s">
        <v>25</v>
      </c>
      <c r="H244" s="2" t="s">
        <v>26</v>
      </c>
      <c r="I244" s="2">
        <v>11542.73</v>
      </c>
      <c r="J244" s="2">
        <v>3</v>
      </c>
      <c r="K244" s="2">
        <v>1885.73</v>
      </c>
      <c r="L244" s="2"/>
    </row>
    <row r="245" spans="1:12" x14ac:dyDescent="0.25">
      <c r="A245" s="2" t="s">
        <v>706</v>
      </c>
      <c r="B245" s="4" t="s">
        <v>707</v>
      </c>
      <c r="C245" s="2" t="str">
        <f t="shared" si="6"/>
        <v>Sep</v>
      </c>
      <c r="D245" s="2">
        <f t="shared" si="7"/>
        <v>2025</v>
      </c>
      <c r="E245" s="2" t="s">
        <v>708</v>
      </c>
      <c r="F245" s="2" t="s">
        <v>18</v>
      </c>
      <c r="G245" s="2" t="s">
        <v>13</v>
      </c>
      <c r="H245" s="2" t="s">
        <v>77</v>
      </c>
      <c r="I245" s="2">
        <v>8240.25</v>
      </c>
      <c r="J245" s="2">
        <v>7</v>
      </c>
      <c r="K245" s="2">
        <v>86.78</v>
      </c>
      <c r="L245" s="2"/>
    </row>
    <row r="246" spans="1:12" x14ac:dyDescent="0.25">
      <c r="A246" s="2" t="s">
        <v>709</v>
      </c>
      <c r="B246" s="4" t="s">
        <v>486</v>
      </c>
      <c r="C246" s="2" t="str">
        <f t="shared" si="6"/>
        <v>Feb</v>
      </c>
      <c r="D246" s="2">
        <f t="shared" si="7"/>
        <v>2025</v>
      </c>
      <c r="E246" s="2" t="s">
        <v>710</v>
      </c>
      <c r="F246" s="2" t="s">
        <v>12</v>
      </c>
      <c r="G246" s="2" t="s">
        <v>13</v>
      </c>
      <c r="H246" s="2" t="s">
        <v>77</v>
      </c>
      <c r="I246" s="2">
        <v>43194.15</v>
      </c>
      <c r="J246" s="2">
        <v>2</v>
      </c>
      <c r="K246" s="2">
        <v>10711.61</v>
      </c>
      <c r="L246" s="2"/>
    </row>
    <row r="247" spans="1:12" x14ac:dyDescent="0.25">
      <c r="A247" s="2" t="s">
        <v>711</v>
      </c>
      <c r="B247" s="4" t="s">
        <v>712</v>
      </c>
      <c r="C247" s="2" t="str">
        <f t="shared" si="6"/>
        <v>Oct</v>
      </c>
      <c r="D247" s="2">
        <f t="shared" si="7"/>
        <v>2025</v>
      </c>
      <c r="E247" s="2" t="s">
        <v>713</v>
      </c>
      <c r="F247" s="2" t="s">
        <v>97</v>
      </c>
      <c r="G247" s="2" t="s">
        <v>13</v>
      </c>
      <c r="H247" s="2" t="s">
        <v>73</v>
      </c>
      <c r="I247" s="2">
        <v>13772.52</v>
      </c>
      <c r="J247" s="2">
        <v>4</v>
      </c>
      <c r="K247" s="2">
        <v>3903.55</v>
      </c>
      <c r="L247" s="2"/>
    </row>
    <row r="248" spans="1:12" x14ac:dyDescent="0.25">
      <c r="A248" s="2" t="s">
        <v>714</v>
      </c>
      <c r="B248" s="4" t="s">
        <v>132</v>
      </c>
      <c r="C248" s="2" t="str">
        <f t="shared" si="6"/>
        <v>Nov</v>
      </c>
      <c r="D248" s="2">
        <f t="shared" si="7"/>
        <v>2025</v>
      </c>
      <c r="E248" s="2" t="s">
        <v>715</v>
      </c>
      <c r="F248" s="2" t="s">
        <v>97</v>
      </c>
      <c r="G248" s="2" t="s">
        <v>25</v>
      </c>
      <c r="H248" s="2" t="s">
        <v>26</v>
      </c>
      <c r="I248" s="2">
        <v>18871.689999999999</v>
      </c>
      <c r="J248" s="2">
        <v>7</v>
      </c>
      <c r="K248" s="2">
        <v>4873.5600000000004</v>
      </c>
      <c r="L248" s="2"/>
    </row>
    <row r="249" spans="1:12" x14ac:dyDescent="0.25">
      <c r="A249" s="2" t="s">
        <v>716</v>
      </c>
      <c r="B249" s="4" t="s">
        <v>49</v>
      </c>
      <c r="C249" s="2" t="str">
        <f t="shared" si="6"/>
        <v>Jul</v>
      </c>
      <c r="D249" s="2">
        <f t="shared" si="7"/>
        <v>2025</v>
      </c>
      <c r="E249" s="2" t="s">
        <v>717</v>
      </c>
      <c r="F249" s="2" t="s">
        <v>34</v>
      </c>
      <c r="G249" s="2" t="s">
        <v>25</v>
      </c>
      <c r="H249" s="2" t="s">
        <v>47</v>
      </c>
      <c r="I249" s="2">
        <v>15320.77</v>
      </c>
      <c r="J249" s="2">
        <v>9</v>
      </c>
      <c r="K249" s="2">
        <v>3330.47</v>
      </c>
      <c r="L249" s="2"/>
    </row>
    <row r="250" spans="1:12" x14ac:dyDescent="0.25">
      <c r="A250" s="2" t="s">
        <v>718</v>
      </c>
      <c r="B250" s="4" t="s">
        <v>650</v>
      </c>
      <c r="C250" s="2" t="str">
        <f t="shared" si="6"/>
        <v>Jan</v>
      </c>
      <c r="D250" s="2">
        <f t="shared" si="7"/>
        <v>2025</v>
      </c>
      <c r="E250" s="2" t="s">
        <v>719</v>
      </c>
      <c r="F250" s="2" t="s">
        <v>12</v>
      </c>
      <c r="G250" s="2" t="s">
        <v>54</v>
      </c>
      <c r="H250" s="2" t="s">
        <v>55</v>
      </c>
      <c r="I250" s="2">
        <v>3303.76</v>
      </c>
      <c r="J250" s="2">
        <v>3</v>
      </c>
      <c r="K250" s="2">
        <v>854.65</v>
      </c>
      <c r="L250" s="2"/>
    </row>
    <row r="251" spans="1:12" x14ac:dyDescent="0.25">
      <c r="A251" s="2" t="s">
        <v>720</v>
      </c>
      <c r="B251" s="4" t="s">
        <v>32</v>
      </c>
      <c r="C251" s="2" t="str">
        <f t="shared" si="6"/>
        <v>May</v>
      </c>
      <c r="D251" s="2">
        <f t="shared" si="7"/>
        <v>2025</v>
      </c>
      <c r="E251" s="2" t="s">
        <v>721</v>
      </c>
      <c r="F251" s="2" t="s">
        <v>42</v>
      </c>
      <c r="G251" s="2" t="s">
        <v>54</v>
      </c>
      <c r="H251" s="2" t="s">
        <v>190</v>
      </c>
      <c r="I251" s="2">
        <v>4169.6400000000003</v>
      </c>
      <c r="J251" s="2">
        <v>10</v>
      </c>
      <c r="K251" s="2">
        <v>866.85</v>
      </c>
      <c r="L251" s="2"/>
    </row>
    <row r="252" spans="1:12" x14ac:dyDescent="0.25">
      <c r="A252" s="2" t="s">
        <v>722</v>
      </c>
      <c r="B252" s="4" t="s">
        <v>723</v>
      </c>
      <c r="C252" s="2" t="str">
        <f t="shared" si="6"/>
        <v>Feb</v>
      </c>
      <c r="D252" s="2">
        <f t="shared" si="7"/>
        <v>2025</v>
      </c>
      <c r="E252" s="2" t="s">
        <v>724</v>
      </c>
      <c r="F252" s="2" t="s">
        <v>18</v>
      </c>
      <c r="G252" s="2" t="s">
        <v>13</v>
      </c>
      <c r="H252" s="2" t="s">
        <v>73</v>
      </c>
      <c r="I252" s="2">
        <v>40715.730000000003</v>
      </c>
      <c r="J252" s="2">
        <v>4</v>
      </c>
      <c r="K252" s="2">
        <v>-720.61</v>
      </c>
      <c r="L252" s="2"/>
    </row>
    <row r="253" spans="1:12" x14ac:dyDescent="0.25">
      <c r="A253" s="2" t="s">
        <v>725</v>
      </c>
      <c r="B253" s="4" t="s">
        <v>113</v>
      </c>
      <c r="C253" s="2" t="str">
        <f t="shared" si="6"/>
        <v>Jan</v>
      </c>
      <c r="D253" s="2">
        <f t="shared" si="7"/>
        <v>2025</v>
      </c>
      <c r="E253" s="2" t="s">
        <v>726</v>
      </c>
      <c r="F253" s="2" t="s">
        <v>18</v>
      </c>
      <c r="G253" s="2" t="s">
        <v>54</v>
      </c>
      <c r="H253" s="2" t="s">
        <v>190</v>
      </c>
      <c r="I253" s="2">
        <v>40214.21</v>
      </c>
      <c r="J253" s="2">
        <v>4</v>
      </c>
      <c r="K253" s="2">
        <v>11708.62</v>
      </c>
      <c r="L253" s="2"/>
    </row>
    <row r="254" spans="1:12" x14ac:dyDescent="0.25">
      <c r="A254" s="2" t="s">
        <v>727</v>
      </c>
      <c r="B254" s="4" t="s">
        <v>95</v>
      </c>
      <c r="C254" s="2" t="str">
        <f t="shared" si="6"/>
        <v>Nov</v>
      </c>
      <c r="D254" s="2">
        <f t="shared" si="7"/>
        <v>2025</v>
      </c>
      <c r="E254" s="2" t="s">
        <v>728</v>
      </c>
      <c r="F254" s="2" t="s">
        <v>24</v>
      </c>
      <c r="G254" s="2" t="s">
        <v>13</v>
      </c>
      <c r="H254" s="2" t="s">
        <v>73</v>
      </c>
      <c r="I254" s="2">
        <v>43261.08</v>
      </c>
      <c r="J254" s="2">
        <v>4</v>
      </c>
      <c r="K254" s="2">
        <v>8085.57</v>
      </c>
      <c r="L254" s="2"/>
    </row>
    <row r="255" spans="1:12" x14ac:dyDescent="0.25">
      <c r="A255" s="2" t="s">
        <v>729</v>
      </c>
      <c r="B255" s="4" t="s">
        <v>204</v>
      </c>
      <c r="C255" s="2" t="str">
        <f t="shared" si="6"/>
        <v>Jul</v>
      </c>
      <c r="D255" s="2">
        <f t="shared" si="7"/>
        <v>2025</v>
      </c>
      <c r="E255" s="2" t="s">
        <v>730</v>
      </c>
      <c r="F255" s="2" t="s">
        <v>18</v>
      </c>
      <c r="G255" s="2" t="s">
        <v>19</v>
      </c>
      <c r="H255" s="2" t="s">
        <v>63</v>
      </c>
      <c r="I255" s="2">
        <v>39170.15</v>
      </c>
      <c r="J255" s="2">
        <v>1</v>
      </c>
      <c r="K255" s="2">
        <v>4655.03</v>
      </c>
      <c r="L255" s="2"/>
    </row>
    <row r="256" spans="1:12" x14ac:dyDescent="0.25">
      <c r="A256" s="2" t="s">
        <v>731</v>
      </c>
      <c r="B256" s="4" t="s">
        <v>57</v>
      </c>
      <c r="C256" s="2" t="str">
        <f t="shared" si="6"/>
        <v>Jan</v>
      </c>
      <c r="D256" s="2">
        <f t="shared" si="7"/>
        <v>2025</v>
      </c>
      <c r="E256" s="2" t="s">
        <v>732</v>
      </c>
      <c r="F256" s="2" t="s">
        <v>38</v>
      </c>
      <c r="G256" s="2" t="s">
        <v>19</v>
      </c>
      <c r="H256" s="2" t="s">
        <v>43</v>
      </c>
      <c r="I256" s="2">
        <v>16721.28</v>
      </c>
      <c r="J256" s="2">
        <v>9</v>
      </c>
      <c r="K256" s="2">
        <v>-788.19</v>
      </c>
      <c r="L256" s="2"/>
    </row>
    <row r="257" spans="1:12" x14ac:dyDescent="0.25">
      <c r="A257" s="2" t="s">
        <v>733</v>
      </c>
      <c r="B257" s="4" t="s">
        <v>431</v>
      </c>
      <c r="C257" s="2" t="str">
        <f t="shared" si="6"/>
        <v>Feb</v>
      </c>
      <c r="D257" s="2">
        <f t="shared" si="7"/>
        <v>2025</v>
      </c>
      <c r="E257" s="2" t="s">
        <v>734</v>
      </c>
      <c r="F257" s="2" t="s">
        <v>97</v>
      </c>
      <c r="G257" s="2" t="s">
        <v>13</v>
      </c>
      <c r="H257" s="2" t="s">
        <v>30</v>
      </c>
      <c r="I257" s="2">
        <v>15304.51</v>
      </c>
      <c r="J257" s="2">
        <v>4</v>
      </c>
      <c r="K257" s="2">
        <v>-145.31</v>
      </c>
      <c r="L257" s="2"/>
    </row>
    <row r="258" spans="1:12" x14ac:dyDescent="0.25">
      <c r="A258" s="2" t="s">
        <v>735</v>
      </c>
      <c r="B258" s="4" t="s">
        <v>736</v>
      </c>
      <c r="C258" s="2" t="str">
        <f t="shared" si="6"/>
        <v>Apr</v>
      </c>
      <c r="D258" s="2">
        <f t="shared" si="7"/>
        <v>2025</v>
      </c>
      <c r="E258" s="2" t="s">
        <v>737</v>
      </c>
      <c r="F258" s="2" t="s">
        <v>34</v>
      </c>
      <c r="G258" s="2" t="s">
        <v>54</v>
      </c>
      <c r="H258" s="2" t="s">
        <v>84</v>
      </c>
      <c r="I258" s="2">
        <v>1100.79</v>
      </c>
      <c r="J258" s="2">
        <v>1</v>
      </c>
      <c r="K258" s="2">
        <v>181.27</v>
      </c>
      <c r="L258" s="2"/>
    </row>
    <row r="259" spans="1:12" x14ac:dyDescent="0.25">
      <c r="A259" s="2" t="s">
        <v>738</v>
      </c>
      <c r="B259" s="4" t="s">
        <v>52</v>
      </c>
      <c r="C259" s="2" t="str">
        <f t="shared" ref="C259:C322" si="8">TEXT(B259, "mmm")</f>
        <v>Feb</v>
      </c>
      <c r="D259" s="2">
        <f t="shared" ref="D259:D322" si="9">YEAR(B259)</f>
        <v>2025</v>
      </c>
      <c r="E259" s="2" t="s">
        <v>739</v>
      </c>
      <c r="F259" s="2" t="s">
        <v>97</v>
      </c>
      <c r="G259" s="2" t="s">
        <v>13</v>
      </c>
      <c r="H259" s="2" t="s">
        <v>30</v>
      </c>
      <c r="I259" s="2">
        <v>33089.379999999997</v>
      </c>
      <c r="J259" s="2">
        <v>9</v>
      </c>
      <c r="K259" s="2">
        <v>4658.76</v>
      </c>
      <c r="L259" s="2"/>
    </row>
    <row r="260" spans="1:12" x14ac:dyDescent="0.25">
      <c r="A260" s="2" t="s">
        <v>740</v>
      </c>
      <c r="B260" s="4" t="s">
        <v>381</v>
      </c>
      <c r="C260" s="2" t="str">
        <f t="shared" si="8"/>
        <v>Dec</v>
      </c>
      <c r="D260" s="2">
        <f t="shared" si="9"/>
        <v>2025</v>
      </c>
      <c r="E260" s="2" t="s">
        <v>741</v>
      </c>
      <c r="F260" s="2" t="s">
        <v>42</v>
      </c>
      <c r="G260" s="2" t="s">
        <v>54</v>
      </c>
      <c r="H260" s="2" t="s">
        <v>55</v>
      </c>
      <c r="I260" s="2">
        <v>1472.3</v>
      </c>
      <c r="J260" s="2">
        <v>10</v>
      </c>
      <c r="K260" s="2">
        <v>290.98</v>
      </c>
      <c r="L260" s="2"/>
    </row>
    <row r="261" spans="1:12" x14ac:dyDescent="0.25">
      <c r="A261" s="2" t="s">
        <v>742</v>
      </c>
      <c r="B261" s="4" t="s">
        <v>743</v>
      </c>
      <c r="C261" s="2" t="str">
        <f t="shared" si="8"/>
        <v>Apr</v>
      </c>
      <c r="D261" s="2">
        <f t="shared" si="9"/>
        <v>2025</v>
      </c>
      <c r="E261" s="2" t="s">
        <v>744</v>
      </c>
      <c r="F261" s="2" t="s">
        <v>97</v>
      </c>
      <c r="G261" s="2" t="s">
        <v>25</v>
      </c>
      <c r="H261" s="2" t="s">
        <v>365</v>
      </c>
      <c r="I261" s="2">
        <v>36841.22</v>
      </c>
      <c r="J261" s="2">
        <v>6</v>
      </c>
      <c r="K261" s="2">
        <v>5699.96</v>
      </c>
      <c r="L261" s="2"/>
    </row>
    <row r="262" spans="1:12" x14ac:dyDescent="0.25">
      <c r="A262" s="2" t="s">
        <v>745</v>
      </c>
      <c r="B262" s="4" t="s">
        <v>746</v>
      </c>
      <c r="C262" s="2" t="str">
        <f t="shared" si="8"/>
        <v>Nov</v>
      </c>
      <c r="D262" s="2">
        <f t="shared" si="9"/>
        <v>2025</v>
      </c>
      <c r="E262" s="2" t="s">
        <v>747</v>
      </c>
      <c r="F262" s="2" t="s">
        <v>24</v>
      </c>
      <c r="G262" s="2" t="s">
        <v>19</v>
      </c>
      <c r="H262" s="2" t="s">
        <v>63</v>
      </c>
      <c r="I262" s="2">
        <v>16462.11</v>
      </c>
      <c r="J262" s="2">
        <v>6</v>
      </c>
      <c r="K262" s="2">
        <v>2682.02</v>
      </c>
      <c r="L262" s="2"/>
    </row>
    <row r="263" spans="1:12" x14ac:dyDescent="0.25">
      <c r="A263" s="2" t="s">
        <v>748</v>
      </c>
      <c r="B263" s="4" t="s">
        <v>749</v>
      </c>
      <c r="C263" s="2" t="str">
        <f t="shared" si="8"/>
        <v>Jan</v>
      </c>
      <c r="D263" s="2">
        <f t="shared" si="9"/>
        <v>2025</v>
      </c>
      <c r="E263" s="2" t="s">
        <v>750</v>
      </c>
      <c r="F263" s="2" t="s">
        <v>18</v>
      </c>
      <c r="G263" s="2" t="s">
        <v>13</v>
      </c>
      <c r="H263" s="2" t="s">
        <v>77</v>
      </c>
      <c r="I263" s="2">
        <v>42025.4</v>
      </c>
      <c r="J263" s="2">
        <v>1</v>
      </c>
      <c r="K263" s="2">
        <v>8460.8799999999992</v>
      </c>
      <c r="L263" s="2"/>
    </row>
    <row r="264" spans="1:12" x14ac:dyDescent="0.25">
      <c r="A264" s="2" t="s">
        <v>751</v>
      </c>
      <c r="B264" s="4" t="s">
        <v>752</v>
      </c>
      <c r="C264" s="2" t="str">
        <f t="shared" si="8"/>
        <v>Mar</v>
      </c>
      <c r="D264" s="2">
        <f t="shared" si="9"/>
        <v>2025</v>
      </c>
      <c r="E264" s="2" t="s">
        <v>753</v>
      </c>
      <c r="F264" s="2" t="s">
        <v>18</v>
      </c>
      <c r="G264" s="2" t="s">
        <v>13</v>
      </c>
      <c r="H264" s="2" t="s">
        <v>121</v>
      </c>
      <c r="I264" s="2">
        <v>41743.68</v>
      </c>
      <c r="J264" s="2">
        <v>2</v>
      </c>
      <c r="K264" s="2">
        <v>7572.55</v>
      </c>
      <c r="L264" s="2"/>
    </row>
    <row r="265" spans="1:12" x14ac:dyDescent="0.25">
      <c r="A265" s="2" t="s">
        <v>754</v>
      </c>
      <c r="B265" s="4" t="s">
        <v>755</v>
      </c>
      <c r="C265" s="2" t="str">
        <f t="shared" si="8"/>
        <v>Mar</v>
      </c>
      <c r="D265" s="2">
        <f t="shared" si="9"/>
        <v>2025</v>
      </c>
      <c r="E265" s="2" t="s">
        <v>756</v>
      </c>
      <c r="F265" s="2" t="s">
        <v>12</v>
      </c>
      <c r="G265" s="2" t="s">
        <v>19</v>
      </c>
      <c r="H265" s="2" t="s">
        <v>63</v>
      </c>
      <c r="I265" s="2">
        <v>44092.4</v>
      </c>
      <c r="J265" s="2">
        <v>6</v>
      </c>
      <c r="K265" s="2">
        <v>13024.62</v>
      </c>
      <c r="L265" s="2"/>
    </row>
    <row r="266" spans="1:12" x14ac:dyDescent="0.25">
      <c r="A266" s="2" t="s">
        <v>757</v>
      </c>
      <c r="B266" s="4" t="s">
        <v>758</v>
      </c>
      <c r="C266" s="2" t="str">
        <f t="shared" si="8"/>
        <v>May</v>
      </c>
      <c r="D266" s="2">
        <f t="shared" si="9"/>
        <v>2025</v>
      </c>
      <c r="E266" s="2" t="s">
        <v>759</v>
      </c>
      <c r="F266" s="2" t="s">
        <v>97</v>
      </c>
      <c r="G266" s="2" t="s">
        <v>19</v>
      </c>
      <c r="H266" s="2" t="s">
        <v>63</v>
      </c>
      <c r="I266" s="2">
        <v>36014.36</v>
      </c>
      <c r="J266" s="2">
        <v>9</v>
      </c>
      <c r="K266" s="2">
        <v>8189.47</v>
      </c>
      <c r="L266" s="2"/>
    </row>
    <row r="267" spans="1:12" x14ac:dyDescent="0.25">
      <c r="A267" s="2" t="s">
        <v>760</v>
      </c>
      <c r="B267" s="4" t="s">
        <v>353</v>
      </c>
      <c r="C267" s="2" t="str">
        <f t="shared" si="8"/>
        <v>Apr</v>
      </c>
      <c r="D267" s="2">
        <f t="shared" si="9"/>
        <v>2025</v>
      </c>
      <c r="E267" s="2" t="s">
        <v>761</v>
      </c>
      <c r="F267" s="2" t="s">
        <v>24</v>
      </c>
      <c r="G267" s="2" t="s">
        <v>19</v>
      </c>
      <c r="H267" s="2" t="s">
        <v>101</v>
      </c>
      <c r="I267" s="2">
        <v>38976.46</v>
      </c>
      <c r="J267" s="2">
        <v>6</v>
      </c>
      <c r="K267" s="2">
        <v>10276.32</v>
      </c>
      <c r="L267" s="2"/>
    </row>
    <row r="268" spans="1:12" x14ac:dyDescent="0.25">
      <c r="A268" s="2" t="s">
        <v>762</v>
      </c>
      <c r="B268" s="4" t="s">
        <v>10</v>
      </c>
      <c r="C268" s="2" t="str">
        <f t="shared" si="8"/>
        <v>Jun</v>
      </c>
      <c r="D268" s="2">
        <f t="shared" si="9"/>
        <v>2025</v>
      </c>
      <c r="E268" s="2" t="s">
        <v>763</v>
      </c>
      <c r="F268" s="2" t="s">
        <v>38</v>
      </c>
      <c r="G268" s="2" t="s">
        <v>25</v>
      </c>
      <c r="H268" s="2" t="s">
        <v>26</v>
      </c>
      <c r="I268" s="2">
        <v>17382.740000000002</v>
      </c>
      <c r="J268" s="2">
        <v>4</v>
      </c>
      <c r="K268" s="2">
        <v>2520.3000000000002</v>
      </c>
      <c r="L268" s="2"/>
    </row>
    <row r="269" spans="1:12" x14ac:dyDescent="0.25">
      <c r="A269" s="2" t="s">
        <v>764</v>
      </c>
      <c r="B269" s="4" t="s">
        <v>765</v>
      </c>
      <c r="C269" s="2" t="str">
        <f t="shared" si="8"/>
        <v>Jul</v>
      </c>
      <c r="D269" s="2">
        <f t="shared" si="9"/>
        <v>2025</v>
      </c>
      <c r="E269" s="2" t="s">
        <v>766</v>
      </c>
      <c r="F269" s="2" t="s">
        <v>42</v>
      </c>
      <c r="G269" s="2" t="s">
        <v>13</v>
      </c>
      <c r="H269" s="2" t="s">
        <v>121</v>
      </c>
      <c r="I269" s="2">
        <v>41633.19</v>
      </c>
      <c r="J269" s="2">
        <v>1</v>
      </c>
      <c r="K269" s="2">
        <v>9437.51</v>
      </c>
      <c r="L269" s="2"/>
    </row>
    <row r="270" spans="1:12" x14ac:dyDescent="0.25">
      <c r="A270" s="2" t="s">
        <v>767</v>
      </c>
      <c r="B270" s="4" t="s">
        <v>768</v>
      </c>
      <c r="C270" s="2" t="str">
        <f t="shared" si="8"/>
        <v>Nov</v>
      </c>
      <c r="D270" s="2">
        <f t="shared" si="9"/>
        <v>2025</v>
      </c>
      <c r="E270" s="2" t="s">
        <v>769</v>
      </c>
      <c r="F270" s="2" t="s">
        <v>24</v>
      </c>
      <c r="G270" s="2" t="s">
        <v>54</v>
      </c>
      <c r="H270" s="2" t="s">
        <v>138</v>
      </c>
      <c r="I270" s="2">
        <v>38439.56</v>
      </c>
      <c r="J270" s="2">
        <v>8</v>
      </c>
      <c r="K270" s="2">
        <v>2832.44</v>
      </c>
      <c r="L270" s="2"/>
    </row>
    <row r="271" spans="1:12" x14ac:dyDescent="0.25">
      <c r="A271" s="2" t="s">
        <v>770</v>
      </c>
      <c r="B271" s="4" t="s">
        <v>626</v>
      </c>
      <c r="C271" s="2" t="str">
        <f t="shared" si="8"/>
        <v>Jul</v>
      </c>
      <c r="D271" s="2">
        <f t="shared" si="9"/>
        <v>2025</v>
      </c>
      <c r="E271" s="2" t="s">
        <v>771</v>
      </c>
      <c r="F271" s="2" t="s">
        <v>12</v>
      </c>
      <c r="G271" s="2" t="s">
        <v>13</v>
      </c>
      <c r="H271" s="2" t="s">
        <v>121</v>
      </c>
      <c r="I271" s="2">
        <v>20779.099999999999</v>
      </c>
      <c r="J271" s="2">
        <v>10</v>
      </c>
      <c r="K271" s="2">
        <v>-207.53</v>
      </c>
      <c r="L271" s="2"/>
    </row>
    <row r="272" spans="1:12" x14ac:dyDescent="0.25">
      <c r="A272" s="2" t="s">
        <v>772</v>
      </c>
      <c r="B272" s="4" t="s">
        <v>287</v>
      </c>
      <c r="C272" s="2" t="str">
        <f t="shared" si="8"/>
        <v>Oct</v>
      </c>
      <c r="D272" s="2">
        <f t="shared" si="9"/>
        <v>2025</v>
      </c>
      <c r="E272" s="2" t="s">
        <v>773</v>
      </c>
      <c r="F272" s="2" t="s">
        <v>34</v>
      </c>
      <c r="G272" s="2" t="s">
        <v>13</v>
      </c>
      <c r="H272" s="2" t="s">
        <v>77</v>
      </c>
      <c r="I272" s="2">
        <v>21358.2</v>
      </c>
      <c r="J272" s="2">
        <v>1</v>
      </c>
      <c r="K272" s="2">
        <v>5659.66</v>
      </c>
      <c r="L272" s="2"/>
    </row>
    <row r="273" spans="1:12" x14ac:dyDescent="0.25">
      <c r="A273" s="2" t="s">
        <v>774</v>
      </c>
      <c r="B273" s="4" t="s">
        <v>775</v>
      </c>
      <c r="C273" s="2" t="str">
        <f t="shared" si="8"/>
        <v>Sep</v>
      </c>
      <c r="D273" s="2">
        <f t="shared" si="9"/>
        <v>2025</v>
      </c>
      <c r="E273" s="2" t="s">
        <v>776</v>
      </c>
      <c r="F273" s="2" t="s">
        <v>34</v>
      </c>
      <c r="G273" s="2" t="s">
        <v>19</v>
      </c>
      <c r="H273" s="2" t="s">
        <v>59</v>
      </c>
      <c r="I273" s="2">
        <v>37778.1</v>
      </c>
      <c r="J273" s="2">
        <v>3</v>
      </c>
      <c r="K273" s="2">
        <v>11233.28</v>
      </c>
      <c r="L273" s="2"/>
    </row>
    <row r="274" spans="1:12" x14ac:dyDescent="0.25">
      <c r="A274" s="2" t="s">
        <v>777</v>
      </c>
      <c r="B274" s="4" t="s">
        <v>472</v>
      </c>
      <c r="C274" s="2" t="str">
        <f t="shared" si="8"/>
        <v>Jul</v>
      </c>
      <c r="D274" s="2">
        <f t="shared" si="9"/>
        <v>2025</v>
      </c>
      <c r="E274" s="2" t="s">
        <v>778</v>
      </c>
      <c r="F274" s="2" t="s">
        <v>18</v>
      </c>
      <c r="G274" s="2" t="s">
        <v>54</v>
      </c>
      <c r="H274" s="2" t="s">
        <v>190</v>
      </c>
      <c r="I274" s="2">
        <v>36437.49</v>
      </c>
      <c r="J274" s="2">
        <v>6</v>
      </c>
      <c r="K274" s="2">
        <v>6825.01</v>
      </c>
      <c r="L274" s="2"/>
    </row>
    <row r="275" spans="1:12" x14ac:dyDescent="0.25">
      <c r="A275" s="2" t="s">
        <v>779</v>
      </c>
      <c r="B275" s="4" t="s">
        <v>397</v>
      </c>
      <c r="C275" s="2" t="str">
        <f t="shared" si="8"/>
        <v>Dec</v>
      </c>
      <c r="D275" s="2">
        <f t="shared" si="9"/>
        <v>2025</v>
      </c>
      <c r="E275" s="2" t="s">
        <v>780</v>
      </c>
      <c r="F275" s="2" t="s">
        <v>34</v>
      </c>
      <c r="G275" s="2" t="s">
        <v>19</v>
      </c>
      <c r="H275" s="2" t="s">
        <v>101</v>
      </c>
      <c r="I275" s="2">
        <v>39182.65</v>
      </c>
      <c r="J275" s="2">
        <v>8</v>
      </c>
      <c r="K275" s="2">
        <v>7204.91</v>
      </c>
      <c r="L275" s="2"/>
    </row>
    <row r="276" spans="1:12" x14ac:dyDescent="0.25">
      <c r="A276" s="2" t="s">
        <v>781</v>
      </c>
      <c r="B276" s="4" t="s">
        <v>782</v>
      </c>
      <c r="C276" s="2" t="str">
        <f t="shared" si="8"/>
        <v>Apr</v>
      </c>
      <c r="D276" s="2">
        <f t="shared" si="9"/>
        <v>2025</v>
      </c>
      <c r="E276" s="2" t="s">
        <v>783</v>
      </c>
      <c r="F276" s="2" t="s">
        <v>42</v>
      </c>
      <c r="G276" s="2" t="s">
        <v>25</v>
      </c>
      <c r="H276" s="2" t="s">
        <v>26</v>
      </c>
      <c r="I276" s="2">
        <v>11293.44</v>
      </c>
      <c r="J276" s="2">
        <v>9</v>
      </c>
      <c r="K276" s="2">
        <v>1043.81</v>
      </c>
      <c r="L276" s="2"/>
    </row>
    <row r="277" spans="1:12" x14ac:dyDescent="0.25">
      <c r="A277" s="2" t="s">
        <v>784</v>
      </c>
      <c r="B277" s="4" t="s">
        <v>785</v>
      </c>
      <c r="C277" s="2" t="str">
        <f t="shared" si="8"/>
        <v>Nov</v>
      </c>
      <c r="D277" s="2">
        <f t="shared" si="9"/>
        <v>2025</v>
      </c>
      <c r="E277" s="2" t="s">
        <v>786</v>
      </c>
      <c r="F277" s="2" t="s">
        <v>38</v>
      </c>
      <c r="G277" s="2" t="s">
        <v>19</v>
      </c>
      <c r="H277" s="2" t="s">
        <v>20</v>
      </c>
      <c r="I277" s="2">
        <v>13000.24</v>
      </c>
      <c r="J277" s="2">
        <v>2</v>
      </c>
      <c r="K277" s="2">
        <v>1259.55</v>
      </c>
      <c r="L277" s="2"/>
    </row>
    <row r="278" spans="1:12" x14ac:dyDescent="0.25">
      <c r="A278" s="2" t="s">
        <v>787</v>
      </c>
      <c r="B278" s="4" t="s">
        <v>167</v>
      </c>
      <c r="C278" s="2" t="str">
        <f t="shared" si="8"/>
        <v>May</v>
      </c>
      <c r="D278" s="2">
        <f t="shared" si="9"/>
        <v>2025</v>
      </c>
      <c r="E278" s="2" t="s">
        <v>788</v>
      </c>
      <c r="F278" s="2" t="s">
        <v>12</v>
      </c>
      <c r="G278" s="2" t="s">
        <v>19</v>
      </c>
      <c r="H278" s="2" t="s">
        <v>59</v>
      </c>
      <c r="I278" s="2">
        <v>17841.509999999998</v>
      </c>
      <c r="J278" s="2">
        <v>7</v>
      </c>
      <c r="K278" s="2">
        <v>3594.34</v>
      </c>
      <c r="L278" s="2"/>
    </row>
    <row r="279" spans="1:12" x14ac:dyDescent="0.25">
      <c r="A279" s="2" t="s">
        <v>789</v>
      </c>
      <c r="B279" s="4" t="s">
        <v>226</v>
      </c>
      <c r="C279" s="2" t="str">
        <f t="shared" si="8"/>
        <v>Feb</v>
      </c>
      <c r="D279" s="2">
        <f t="shared" si="9"/>
        <v>2025</v>
      </c>
      <c r="E279" s="2" t="s">
        <v>790</v>
      </c>
      <c r="F279" s="2" t="s">
        <v>12</v>
      </c>
      <c r="G279" s="2" t="s">
        <v>19</v>
      </c>
      <c r="H279" s="2" t="s">
        <v>20</v>
      </c>
      <c r="I279" s="2">
        <v>47284.38</v>
      </c>
      <c r="J279" s="2">
        <v>9</v>
      </c>
      <c r="K279" s="2">
        <v>6639.32</v>
      </c>
      <c r="L279" s="2"/>
    </row>
    <row r="280" spans="1:12" x14ac:dyDescent="0.25">
      <c r="A280" s="2" t="s">
        <v>791</v>
      </c>
      <c r="B280" s="4" t="s">
        <v>551</v>
      </c>
      <c r="C280" s="2" t="str">
        <f t="shared" si="8"/>
        <v>Jul</v>
      </c>
      <c r="D280" s="2">
        <f t="shared" si="9"/>
        <v>2025</v>
      </c>
      <c r="E280" s="2" t="s">
        <v>792</v>
      </c>
      <c r="F280" s="2" t="s">
        <v>12</v>
      </c>
      <c r="G280" s="2" t="s">
        <v>25</v>
      </c>
      <c r="H280" s="2" t="s">
        <v>154</v>
      </c>
      <c r="I280" s="2">
        <v>550.41</v>
      </c>
      <c r="J280" s="2">
        <v>6</v>
      </c>
      <c r="K280" s="2">
        <v>150.93</v>
      </c>
      <c r="L280" s="2"/>
    </row>
    <row r="281" spans="1:12" x14ac:dyDescent="0.25">
      <c r="A281" s="2" t="s">
        <v>793</v>
      </c>
      <c r="B281" s="4" t="s">
        <v>347</v>
      </c>
      <c r="C281" s="2" t="str">
        <f t="shared" si="8"/>
        <v>Apr</v>
      </c>
      <c r="D281" s="2">
        <f t="shared" si="9"/>
        <v>2025</v>
      </c>
      <c r="E281" s="2" t="s">
        <v>794</v>
      </c>
      <c r="F281" s="2" t="s">
        <v>24</v>
      </c>
      <c r="G281" s="2" t="s">
        <v>13</v>
      </c>
      <c r="H281" s="2" t="s">
        <v>14</v>
      </c>
      <c r="I281" s="2">
        <v>27067.99</v>
      </c>
      <c r="J281" s="2">
        <v>3</v>
      </c>
      <c r="K281" s="2">
        <v>7688.64</v>
      </c>
      <c r="L281" s="2"/>
    </row>
    <row r="282" spans="1:12" x14ac:dyDescent="0.25">
      <c r="A282" s="2" t="s">
        <v>795</v>
      </c>
      <c r="B282" s="4" t="s">
        <v>207</v>
      </c>
      <c r="C282" s="2" t="str">
        <f t="shared" si="8"/>
        <v>Jan</v>
      </c>
      <c r="D282" s="2">
        <f t="shared" si="9"/>
        <v>2025</v>
      </c>
      <c r="E282" s="2" t="s">
        <v>796</v>
      </c>
      <c r="F282" s="2" t="s">
        <v>18</v>
      </c>
      <c r="G282" s="2" t="s">
        <v>25</v>
      </c>
      <c r="H282" s="2" t="s">
        <v>169</v>
      </c>
      <c r="I282" s="2">
        <v>15294.22</v>
      </c>
      <c r="J282" s="2">
        <v>4</v>
      </c>
      <c r="K282" s="2">
        <v>2450.15</v>
      </c>
      <c r="L282" s="2"/>
    </row>
    <row r="283" spans="1:12" x14ac:dyDescent="0.25">
      <c r="A283" s="2" t="s">
        <v>797</v>
      </c>
      <c r="B283" s="4" t="s">
        <v>680</v>
      </c>
      <c r="C283" s="2" t="str">
        <f t="shared" si="8"/>
        <v>Nov</v>
      </c>
      <c r="D283" s="2">
        <f t="shared" si="9"/>
        <v>2025</v>
      </c>
      <c r="E283" s="2" t="s">
        <v>798</v>
      </c>
      <c r="F283" s="2" t="s">
        <v>97</v>
      </c>
      <c r="G283" s="2" t="s">
        <v>13</v>
      </c>
      <c r="H283" s="2" t="s">
        <v>121</v>
      </c>
      <c r="I283" s="2">
        <v>22104.37</v>
      </c>
      <c r="J283" s="2">
        <v>9</v>
      </c>
      <c r="K283" s="2">
        <v>2289.64</v>
      </c>
      <c r="L283" s="2"/>
    </row>
    <row r="284" spans="1:12" x14ac:dyDescent="0.25">
      <c r="A284" s="2" t="s">
        <v>799</v>
      </c>
      <c r="B284" s="4" t="s">
        <v>113</v>
      </c>
      <c r="C284" s="2" t="str">
        <f t="shared" si="8"/>
        <v>Jan</v>
      </c>
      <c r="D284" s="2">
        <f t="shared" si="9"/>
        <v>2025</v>
      </c>
      <c r="E284" s="2" t="s">
        <v>800</v>
      </c>
      <c r="F284" s="2" t="s">
        <v>97</v>
      </c>
      <c r="G284" s="2" t="s">
        <v>25</v>
      </c>
      <c r="H284" s="2" t="s">
        <v>47</v>
      </c>
      <c r="I284" s="2">
        <v>37587.17</v>
      </c>
      <c r="J284" s="2">
        <v>1</v>
      </c>
      <c r="K284" s="2">
        <v>2496.6799999999998</v>
      </c>
      <c r="L284" s="2"/>
    </row>
    <row r="285" spans="1:12" x14ac:dyDescent="0.25">
      <c r="A285" s="2" t="s">
        <v>801</v>
      </c>
      <c r="B285" s="4" t="s">
        <v>119</v>
      </c>
      <c r="C285" s="2" t="str">
        <f t="shared" si="8"/>
        <v>Aug</v>
      </c>
      <c r="D285" s="2">
        <f t="shared" si="9"/>
        <v>2025</v>
      </c>
      <c r="E285" s="2" t="s">
        <v>802</v>
      </c>
      <c r="F285" s="2" t="s">
        <v>42</v>
      </c>
      <c r="G285" s="2" t="s">
        <v>13</v>
      </c>
      <c r="H285" s="2" t="s">
        <v>73</v>
      </c>
      <c r="I285" s="2">
        <v>921.16</v>
      </c>
      <c r="J285" s="2">
        <v>7</v>
      </c>
      <c r="K285" s="2">
        <v>184.39</v>
      </c>
      <c r="L285" s="2"/>
    </row>
    <row r="286" spans="1:12" x14ac:dyDescent="0.25">
      <c r="A286" s="2" t="s">
        <v>803</v>
      </c>
      <c r="B286" s="4" t="s">
        <v>294</v>
      </c>
      <c r="C286" s="2" t="str">
        <f t="shared" si="8"/>
        <v>Feb</v>
      </c>
      <c r="D286" s="2">
        <f t="shared" si="9"/>
        <v>2025</v>
      </c>
      <c r="E286" s="2" t="s">
        <v>804</v>
      </c>
      <c r="F286" s="2" t="s">
        <v>42</v>
      </c>
      <c r="G286" s="2" t="s">
        <v>25</v>
      </c>
      <c r="H286" s="2" t="s">
        <v>47</v>
      </c>
      <c r="I286" s="2">
        <v>34759.31</v>
      </c>
      <c r="J286" s="2">
        <v>9</v>
      </c>
      <c r="K286" s="2">
        <v>6154.57</v>
      </c>
      <c r="L286" s="2"/>
    </row>
    <row r="287" spans="1:12" x14ac:dyDescent="0.25">
      <c r="A287" s="2" t="s">
        <v>805</v>
      </c>
      <c r="B287" s="4" t="s">
        <v>806</v>
      </c>
      <c r="C287" s="2" t="str">
        <f t="shared" si="8"/>
        <v>Jun</v>
      </c>
      <c r="D287" s="2">
        <f t="shared" si="9"/>
        <v>2025</v>
      </c>
      <c r="E287" s="2" t="s">
        <v>807</v>
      </c>
      <c r="F287" s="2" t="s">
        <v>38</v>
      </c>
      <c r="G287" s="2" t="s">
        <v>13</v>
      </c>
      <c r="H287" s="2" t="s">
        <v>77</v>
      </c>
      <c r="I287" s="2">
        <v>38897.919999999998</v>
      </c>
      <c r="J287" s="2">
        <v>9</v>
      </c>
      <c r="K287" s="2">
        <v>7924.16</v>
      </c>
      <c r="L287" s="2"/>
    </row>
    <row r="288" spans="1:12" x14ac:dyDescent="0.25">
      <c r="A288" s="2" t="s">
        <v>808</v>
      </c>
      <c r="B288" s="4" t="s">
        <v>809</v>
      </c>
      <c r="C288" s="2" t="str">
        <f t="shared" si="8"/>
        <v>Sep</v>
      </c>
      <c r="D288" s="2">
        <f t="shared" si="9"/>
        <v>2025</v>
      </c>
      <c r="E288" s="2" t="s">
        <v>810</v>
      </c>
      <c r="F288" s="2" t="s">
        <v>42</v>
      </c>
      <c r="G288" s="2" t="s">
        <v>13</v>
      </c>
      <c r="H288" s="2" t="s">
        <v>73</v>
      </c>
      <c r="I288" s="2">
        <v>26555.73</v>
      </c>
      <c r="J288" s="2">
        <v>6</v>
      </c>
      <c r="K288" s="2">
        <v>1609.74</v>
      </c>
      <c r="L288" s="2"/>
    </row>
    <row r="289" spans="1:12" x14ac:dyDescent="0.25">
      <c r="A289" s="2" t="s">
        <v>811</v>
      </c>
      <c r="B289" s="4" t="s">
        <v>541</v>
      </c>
      <c r="C289" s="2" t="str">
        <f t="shared" si="8"/>
        <v>Aug</v>
      </c>
      <c r="D289" s="2">
        <f t="shared" si="9"/>
        <v>2025</v>
      </c>
      <c r="E289" s="2" t="s">
        <v>812</v>
      </c>
      <c r="F289" s="2" t="s">
        <v>18</v>
      </c>
      <c r="G289" s="2" t="s">
        <v>19</v>
      </c>
      <c r="H289" s="2" t="s">
        <v>43</v>
      </c>
      <c r="I289" s="2">
        <v>28637.08</v>
      </c>
      <c r="J289" s="2">
        <v>8</v>
      </c>
      <c r="K289" s="2">
        <v>7766.68</v>
      </c>
      <c r="L289" s="2"/>
    </row>
    <row r="290" spans="1:12" x14ac:dyDescent="0.25">
      <c r="A290" s="2" t="s">
        <v>813</v>
      </c>
      <c r="B290" s="4" t="s">
        <v>814</v>
      </c>
      <c r="C290" s="2" t="str">
        <f t="shared" si="8"/>
        <v>Apr</v>
      </c>
      <c r="D290" s="2">
        <f t="shared" si="9"/>
        <v>2025</v>
      </c>
      <c r="E290" s="2" t="s">
        <v>815</v>
      </c>
      <c r="F290" s="2" t="s">
        <v>38</v>
      </c>
      <c r="G290" s="2" t="s">
        <v>19</v>
      </c>
      <c r="H290" s="2" t="s">
        <v>43</v>
      </c>
      <c r="I290" s="2">
        <v>47586.879999999997</v>
      </c>
      <c r="J290" s="2">
        <v>5</v>
      </c>
      <c r="K290" s="2">
        <v>7382.2</v>
      </c>
      <c r="L290" s="2"/>
    </row>
    <row r="291" spans="1:12" x14ac:dyDescent="0.25">
      <c r="A291" s="2" t="s">
        <v>816</v>
      </c>
      <c r="B291" s="4" t="s">
        <v>186</v>
      </c>
      <c r="C291" s="2" t="str">
        <f t="shared" si="8"/>
        <v>Feb</v>
      </c>
      <c r="D291" s="2">
        <f t="shared" si="9"/>
        <v>2025</v>
      </c>
      <c r="E291" s="2" t="s">
        <v>817</v>
      </c>
      <c r="F291" s="2" t="s">
        <v>18</v>
      </c>
      <c r="G291" s="2" t="s">
        <v>19</v>
      </c>
      <c r="H291" s="2" t="s">
        <v>59</v>
      </c>
      <c r="I291" s="2">
        <v>36749.31</v>
      </c>
      <c r="J291" s="2">
        <v>8</v>
      </c>
      <c r="K291" s="2">
        <v>5458.95</v>
      </c>
      <c r="L291" s="2"/>
    </row>
    <row r="292" spans="1:12" x14ac:dyDescent="0.25">
      <c r="A292" s="2" t="s">
        <v>818</v>
      </c>
      <c r="B292" s="4" t="s">
        <v>819</v>
      </c>
      <c r="C292" s="2" t="str">
        <f t="shared" si="8"/>
        <v>Dec</v>
      </c>
      <c r="D292" s="2">
        <f t="shared" si="9"/>
        <v>2025</v>
      </c>
      <c r="E292" s="2" t="s">
        <v>820</v>
      </c>
      <c r="F292" s="2" t="s">
        <v>42</v>
      </c>
      <c r="G292" s="2" t="s">
        <v>25</v>
      </c>
      <c r="H292" s="2" t="s">
        <v>154</v>
      </c>
      <c r="I292" s="2">
        <v>12069.06</v>
      </c>
      <c r="J292" s="2">
        <v>8</v>
      </c>
      <c r="K292" s="2">
        <v>2006.96</v>
      </c>
      <c r="L292" s="2"/>
    </row>
    <row r="293" spans="1:12" x14ac:dyDescent="0.25">
      <c r="A293" s="2" t="s">
        <v>821</v>
      </c>
      <c r="B293" s="4" t="s">
        <v>262</v>
      </c>
      <c r="C293" s="2" t="str">
        <f t="shared" si="8"/>
        <v>Nov</v>
      </c>
      <c r="D293" s="2">
        <f t="shared" si="9"/>
        <v>2025</v>
      </c>
      <c r="E293" s="2" t="s">
        <v>822</v>
      </c>
      <c r="F293" s="2" t="s">
        <v>97</v>
      </c>
      <c r="G293" s="2" t="s">
        <v>13</v>
      </c>
      <c r="H293" s="2" t="s">
        <v>73</v>
      </c>
      <c r="I293" s="2">
        <v>37603.56</v>
      </c>
      <c r="J293" s="2">
        <v>8</v>
      </c>
      <c r="K293" s="2">
        <v>6054.41</v>
      </c>
      <c r="L293" s="2"/>
    </row>
    <row r="294" spans="1:12" x14ac:dyDescent="0.25">
      <c r="A294" s="2" t="s">
        <v>823</v>
      </c>
      <c r="B294" s="4" t="s">
        <v>600</v>
      </c>
      <c r="C294" s="2" t="str">
        <f t="shared" si="8"/>
        <v>Dec</v>
      </c>
      <c r="D294" s="2">
        <f t="shared" si="9"/>
        <v>2025</v>
      </c>
      <c r="E294" s="2" t="s">
        <v>824</v>
      </c>
      <c r="F294" s="2" t="s">
        <v>12</v>
      </c>
      <c r="G294" s="2" t="s">
        <v>54</v>
      </c>
      <c r="H294" s="2" t="s">
        <v>55</v>
      </c>
      <c r="I294" s="2">
        <v>9880.11</v>
      </c>
      <c r="J294" s="2">
        <v>6</v>
      </c>
      <c r="K294" s="2">
        <v>1618.54</v>
      </c>
      <c r="L294" s="2"/>
    </row>
    <row r="295" spans="1:12" x14ac:dyDescent="0.25">
      <c r="A295" s="2" t="s">
        <v>825</v>
      </c>
      <c r="B295" s="4" t="s">
        <v>532</v>
      </c>
      <c r="C295" s="2" t="str">
        <f t="shared" si="8"/>
        <v>Aug</v>
      </c>
      <c r="D295" s="2">
        <f t="shared" si="9"/>
        <v>2025</v>
      </c>
      <c r="E295" s="2" t="s">
        <v>826</v>
      </c>
      <c r="F295" s="2" t="s">
        <v>24</v>
      </c>
      <c r="G295" s="2" t="s">
        <v>25</v>
      </c>
      <c r="H295" s="2" t="s">
        <v>365</v>
      </c>
      <c r="I295" s="2">
        <v>25495.68</v>
      </c>
      <c r="J295" s="2">
        <v>3</v>
      </c>
      <c r="K295" s="2">
        <v>3409.08</v>
      </c>
      <c r="L295" s="2"/>
    </row>
    <row r="296" spans="1:12" x14ac:dyDescent="0.25">
      <c r="A296" s="2" t="s">
        <v>827</v>
      </c>
      <c r="B296" s="4" t="s">
        <v>828</v>
      </c>
      <c r="C296" s="2" t="str">
        <f t="shared" si="8"/>
        <v>Jun</v>
      </c>
      <c r="D296" s="2">
        <f t="shared" si="9"/>
        <v>2025</v>
      </c>
      <c r="E296" s="2" t="s">
        <v>829</v>
      </c>
      <c r="F296" s="2" t="s">
        <v>12</v>
      </c>
      <c r="G296" s="2" t="s">
        <v>19</v>
      </c>
      <c r="H296" s="2" t="s">
        <v>20</v>
      </c>
      <c r="I296" s="2">
        <v>16695.009999999998</v>
      </c>
      <c r="J296" s="2">
        <v>7</v>
      </c>
      <c r="K296" s="2">
        <v>628.6</v>
      </c>
      <c r="L296" s="2"/>
    </row>
    <row r="297" spans="1:12" x14ac:dyDescent="0.25">
      <c r="A297" s="2" t="s">
        <v>830</v>
      </c>
      <c r="B297" s="4" t="s">
        <v>45</v>
      </c>
      <c r="C297" s="2" t="str">
        <f t="shared" si="8"/>
        <v>Aug</v>
      </c>
      <c r="D297" s="2">
        <f t="shared" si="9"/>
        <v>2025</v>
      </c>
      <c r="E297" s="2" t="s">
        <v>831</v>
      </c>
      <c r="F297" s="2" t="s">
        <v>12</v>
      </c>
      <c r="G297" s="2" t="s">
        <v>25</v>
      </c>
      <c r="H297" s="2" t="s">
        <v>365</v>
      </c>
      <c r="I297" s="2">
        <v>12155.61</v>
      </c>
      <c r="J297" s="2">
        <v>6</v>
      </c>
      <c r="K297" s="2">
        <v>2468.71</v>
      </c>
      <c r="L297" s="2"/>
    </row>
    <row r="298" spans="1:12" x14ac:dyDescent="0.25">
      <c r="A298" s="2" t="s">
        <v>832</v>
      </c>
      <c r="B298" s="4" t="s">
        <v>833</v>
      </c>
      <c r="C298" s="2" t="str">
        <f t="shared" si="8"/>
        <v>Mar</v>
      </c>
      <c r="D298" s="2">
        <f t="shared" si="9"/>
        <v>2025</v>
      </c>
      <c r="E298" s="2" t="s">
        <v>834</v>
      </c>
      <c r="F298" s="2" t="s">
        <v>18</v>
      </c>
      <c r="G298" s="2" t="s">
        <v>19</v>
      </c>
      <c r="H298" s="2" t="s">
        <v>63</v>
      </c>
      <c r="I298" s="2">
        <v>16834.14</v>
      </c>
      <c r="J298" s="2">
        <v>8</v>
      </c>
      <c r="K298" s="2">
        <v>3019.31</v>
      </c>
      <c r="L298" s="2"/>
    </row>
    <row r="299" spans="1:12" x14ac:dyDescent="0.25">
      <c r="A299" s="2" t="s">
        <v>835</v>
      </c>
      <c r="B299" s="4" t="s">
        <v>495</v>
      </c>
      <c r="C299" s="2" t="str">
        <f t="shared" si="8"/>
        <v>Dec</v>
      </c>
      <c r="D299" s="2">
        <f t="shared" si="9"/>
        <v>2025</v>
      </c>
      <c r="E299" s="2" t="s">
        <v>836</v>
      </c>
      <c r="F299" s="2" t="s">
        <v>97</v>
      </c>
      <c r="G299" s="2" t="s">
        <v>25</v>
      </c>
      <c r="H299" s="2" t="s">
        <v>169</v>
      </c>
      <c r="I299" s="2">
        <v>22716.91</v>
      </c>
      <c r="J299" s="2">
        <v>7</v>
      </c>
      <c r="K299" s="2">
        <v>3741.74</v>
      </c>
      <c r="L299" s="2"/>
    </row>
    <row r="300" spans="1:12" x14ac:dyDescent="0.25">
      <c r="A300" s="2" t="s">
        <v>837</v>
      </c>
      <c r="B300" s="4" t="s">
        <v>478</v>
      </c>
      <c r="C300" s="2" t="str">
        <f t="shared" si="8"/>
        <v>Oct</v>
      </c>
      <c r="D300" s="2">
        <f t="shared" si="9"/>
        <v>2025</v>
      </c>
      <c r="E300" s="2" t="s">
        <v>838</v>
      </c>
      <c r="F300" s="2" t="s">
        <v>24</v>
      </c>
      <c r="G300" s="2" t="s">
        <v>54</v>
      </c>
      <c r="H300" s="2" t="s">
        <v>55</v>
      </c>
      <c r="I300" s="2">
        <v>46923.57</v>
      </c>
      <c r="J300" s="2">
        <v>3</v>
      </c>
      <c r="K300" s="2">
        <v>7479.43</v>
      </c>
      <c r="L300" s="2"/>
    </row>
    <row r="301" spans="1:12" x14ac:dyDescent="0.25">
      <c r="A301" s="2" t="s">
        <v>839</v>
      </c>
      <c r="B301" s="4" t="s">
        <v>840</v>
      </c>
      <c r="C301" s="2" t="str">
        <f t="shared" si="8"/>
        <v>Mar</v>
      </c>
      <c r="D301" s="2">
        <f t="shared" si="9"/>
        <v>2025</v>
      </c>
      <c r="E301" s="2" t="s">
        <v>841</v>
      </c>
      <c r="F301" s="2" t="s">
        <v>12</v>
      </c>
      <c r="G301" s="2" t="s">
        <v>25</v>
      </c>
      <c r="H301" s="2" t="s">
        <v>26</v>
      </c>
      <c r="I301" s="2">
        <v>15700.43</v>
      </c>
      <c r="J301" s="2">
        <v>2</v>
      </c>
      <c r="K301" s="2">
        <v>3947.85</v>
      </c>
      <c r="L301" s="2"/>
    </row>
    <row r="302" spans="1:12" x14ac:dyDescent="0.25">
      <c r="A302" s="2" t="s">
        <v>842</v>
      </c>
      <c r="B302" s="4" t="s">
        <v>645</v>
      </c>
      <c r="C302" s="2" t="str">
        <f t="shared" si="8"/>
        <v>Dec</v>
      </c>
      <c r="D302" s="2">
        <f t="shared" si="9"/>
        <v>2025</v>
      </c>
      <c r="E302" s="2" t="s">
        <v>843</v>
      </c>
      <c r="F302" s="2" t="s">
        <v>34</v>
      </c>
      <c r="G302" s="2" t="s">
        <v>54</v>
      </c>
      <c r="H302" s="2" t="s">
        <v>55</v>
      </c>
      <c r="I302" s="2">
        <v>47142.51</v>
      </c>
      <c r="J302" s="2">
        <v>9</v>
      </c>
      <c r="K302" s="2">
        <v>-1922.62</v>
      </c>
      <c r="L302" s="2"/>
    </row>
    <row r="303" spans="1:12" x14ac:dyDescent="0.25">
      <c r="A303" s="2" t="s">
        <v>844</v>
      </c>
      <c r="B303" s="4" t="s">
        <v>375</v>
      </c>
      <c r="C303" s="2" t="str">
        <f t="shared" si="8"/>
        <v>Oct</v>
      </c>
      <c r="D303" s="2">
        <f t="shared" si="9"/>
        <v>2025</v>
      </c>
      <c r="E303" s="2" t="s">
        <v>845</v>
      </c>
      <c r="F303" s="2" t="s">
        <v>24</v>
      </c>
      <c r="G303" s="2" t="s">
        <v>25</v>
      </c>
      <c r="H303" s="2" t="s">
        <v>365</v>
      </c>
      <c r="I303" s="2">
        <v>16679.099999999999</v>
      </c>
      <c r="J303" s="2">
        <v>3</v>
      </c>
      <c r="K303" s="2">
        <v>498.58</v>
      </c>
      <c r="L303" s="2"/>
    </row>
    <row r="304" spans="1:12" x14ac:dyDescent="0.25">
      <c r="A304" s="2" t="s">
        <v>846</v>
      </c>
      <c r="B304" s="4" t="s">
        <v>323</v>
      </c>
      <c r="C304" s="2" t="str">
        <f t="shared" si="8"/>
        <v>Nov</v>
      </c>
      <c r="D304" s="2">
        <f t="shared" si="9"/>
        <v>2025</v>
      </c>
      <c r="E304" s="2" t="s">
        <v>847</v>
      </c>
      <c r="F304" s="2" t="s">
        <v>38</v>
      </c>
      <c r="G304" s="2" t="s">
        <v>13</v>
      </c>
      <c r="H304" s="2" t="s">
        <v>73</v>
      </c>
      <c r="I304" s="2">
        <v>15626.85</v>
      </c>
      <c r="J304" s="2">
        <v>9</v>
      </c>
      <c r="K304" s="2">
        <v>2707.39</v>
      </c>
      <c r="L304" s="2"/>
    </row>
    <row r="305" spans="1:12" x14ac:dyDescent="0.25">
      <c r="A305" s="2" t="s">
        <v>848</v>
      </c>
      <c r="B305" s="4" t="s">
        <v>849</v>
      </c>
      <c r="C305" s="2" t="str">
        <f t="shared" si="8"/>
        <v>May</v>
      </c>
      <c r="D305" s="2">
        <f t="shared" si="9"/>
        <v>2025</v>
      </c>
      <c r="E305" s="2" t="s">
        <v>850</v>
      </c>
      <c r="F305" s="2" t="s">
        <v>97</v>
      </c>
      <c r="G305" s="2" t="s">
        <v>13</v>
      </c>
      <c r="H305" s="2" t="s">
        <v>14</v>
      </c>
      <c r="I305" s="2">
        <v>31600.43</v>
      </c>
      <c r="J305" s="2">
        <v>5</v>
      </c>
      <c r="K305" s="2">
        <v>1168.72</v>
      </c>
      <c r="L305" s="2"/>
    </row>
    <row r="306" spans="1:12" x14ac:dyDescent="0.25">
      <c r="A306" s="2" t="s">
        <v>851</v>
      </c>
      <c r="B306" s="4" t="s">
        <v>852</v>
      </c>
      <c r="C306" s="2" t="str">
        <f t="shared" si="8"/>
        <v>Jan</v>
      </c>
      <c r="D306" s="2">
        <f t="shared" si="9"/>
        <v>2025</v>
      </c>
      <c r="E306" s="2" t="s">
        <v>853</v>
      </c>
      <c r="F306" s="2" t="s">
        <v>42</v>
      </c>
      <c r="G306" s="2" t="s">
        <v>13</v>
      </c>
      <c r="H306" s="2" t="s">
        <v>30</v>
      </c>
      <c r="I306" s="2">
        <v>10826.19</v>
      </c>
      <c r="J306" s="2">
        <v>8</v>
      </c>
      <c r="K306" s="2">
        <v>1644.77</v>
      </c>
      <c r="L306" s="2"/>
    </row>
    <row r="307" spans="1:12" x14ac:dyDescent="0.25">
      <c r="A307" s="2" t="s">
        <v>854</v>
      </c>
      <c r="B307" s="4" t="s">
        <v>736</v>
      </c>
      <c r="C307" s="2" t="str">
        <f t="shared" si="8"/>
        <v>Apr</v>
      </c>
      <c r="D307" s="2">
        <f t="shared" si="9"/>
        <v>2025</v>
      </c>
      <c r="E307" s="2" t="s">
        <v>855</v>
      </c>
      <c r="F307" s="2" t="s">
        <v>12</v>
      </c>
      <c r="G307" s="2" t="s">
        <v>13</v>
      </c>
      <c r="H307" s="2" t="s">
        <v>121</v>
      </c>
      <c r="I307" s="2">
        <v>23749.83</v>
      </c>
      <c r="J307" s="2">
        <v>9</v>
      </c>
      <c r="K307" s="2">
        <v>6209.77</v>
      </c>
      <c r="L307" s="2"/>
    </row>
    <row r="308" spans="1:12" x14ac:dyDescent="0.25">
      <c r="A308" s="2" t="s">
        <v>856</v>
      </c>
      <c r="B308" s="4" t="s">
        <v>268</v>
      </c>
      <c r="C308" s="2" t="str">
        <f t="shared" si="8"/>
        <v>Mar</v>
      </c>
      <c r="D308" s="2">
        <f t="shared" si="9"/>
        <v>2025</v>
      </c>
      <c r="E308" s="2" t="s">
        <v>857</v>
      </c>
      <c r="F308" s="2" t="s">
        <v>42</v>
      </c>
      <c r="G308" s="2" t="s">
        <v>25</v>
      </c>
      <c r="H308" s="2" t="s">
        <v>26</v>
      </c>
      <c r="I308" s="2">
        <v>29667.15</v>
      </c>
      <c r="J308" s="2">
        <v>5</v>
      </c>
      <c r="K308" s="2">
        <v>7958.05</v>
      </c>
      <c r="L308" s="2"/>
    </row>
    <row r="309" spans="1:12" x14ac:dyDescent="0.25">
      <c r="A309" s="2" t="s">
        <v>858</v>
      </c>
      <c r="B309" s="4" t="s">
        <v>22</v>
      </c>
      <c r="C309" s="2" t="str">
        <f t="shared" si="8"/>
        <v>Mar</v>
      </c>
      <c r="D309" s="2">
        <f t="shared" si="9"/>
        <v>2025</v>
      </c>
      <c r="E309" s="2" t="s">
        <v>859</v>
      </c>
      <c r="F309" s="2" t="s">
        <v>38</v>
      </c>
      <c r="G309" s="2" t="s">
        <v>13</v>
      </c>
      <c r="H309" s="2" t="s">
        <v>73</v>
      </c>
      <c r="I309" s="2">
        <v>30539.98</v>
      </c>
      <c r="J309" s="2">
        <v>3</v>
      </c>
      <c r="K309" s="2">
        <v>3413.08</v>
      </c>
      <c r="L309" s="2"/>
    </row>
    <row r="310" spans="1:12" x14ac:dyDescent="0.25">
      <c r="A310" s="2" t="s">
        <v>860</v>
      </c>
      <c r="B310" s="4" t="s">
        <v>408</v>
      </c>
      <c r="C310" s="2" t="str">
        <f t="shared" si="8"/>
        <v>Jun</v>
      </c>
      <c r="D310" s="2">
        <f t="shared" si="9"/>
        <v>2025</v>
      </c>
      <c r="E310" s="2" t="s">
        <v>861</v>
      </c>
      <c r="F310" s="2" t="s">
        <v>97</v>
      </c>
      <c r="G310" s="2" t="s">
        <v>19</v>
      </c>
      <c r="H310" s="2" t="s">
        <v>43</v>
      </c>
      <c r="I310" s="2">
        <v>8766.65</v>
      </c>
      <c r="J310" s="2">
        <v>10</v>
      </c>
      <c r="K310" s="2">
        <v>-91.08</v>
      </c>
      <c r="L310" s="2"/>
    </row>
    <row r="311" spans="1:12" x14ac:dyDescent="0.25">
      <c r="A311" s="2" t="s">
        <v>862</v>
      </c>
      <c r="B311" s="4" t="s">
        <v>863</v>
      </c>
      <c r="C311" s="2" t="str">
        <f t="shared" si="8"/>
        <v>Dec</v>
      </c>
      <c r="D311" s="2">
        <f t="shared" si="9"/>
        <v>2025</v>
      </c>
      <c r="E311" s="2" t="s">
        <v>864</v>
      </c>
      <c r="F311" s="2" t="s">
        <v>18</v>
      </c>
      <c r="G311" s="2" t="s">
        <v>13</v>
      </c>
      <c r="H311" s="2" t="s">
        <v>30</v>
      </c>
      <c r="I311" s="2">
        <v>24955.98</v>
      </c>
      <c r="J311" s="2">
        <v>3</v>
      </c>
      <c r="K311" s="2">
        <v>4461.62</v>
      </c>
      <c r="L311" s="2"/>
    </row>
    <row r="312" spans="1:12" x14ac:dyDescent="0.25">
      <c r="A312" s="2" t="s">
        <v>865</v>
      </c>
      <c r="B312" s="4" t="s">
        <v>866</v>
      </c>
      <c r="C312" s="2" t="str">
        <f t="shared" si="8"/>
        <v>Jul</v>
      </c>
      <c r="D312" s="2">
        <f t="shared" si="9"/>
        <v>2025</v>
      </c>
      <c r="E312" s="2" t="s">
        <v>867</v>
      </c>
      <c r="F312" s="2" t="s">
        <v>42</v>
      </c>
      <c r="G312" s="2" t="s">
        <v>13</v>
      </c>
      <c r="H312" s="2" t="s">
        <v>14</v>
      </c>
      <c r="I312" s="2">
        <v>29491.88</v>
      </c>
      <c r="J312" s="2">
        <v>8</v>
      </c>
      <c r="K312" s="2">
        <v>4288.99</v>
      </c>
      <c r="L312" s="2"/>
    </row>
    <row r="313" spans="1:12" x14ac:dyDescent="0.25">
      <c r="A313" s="2" t="s">
        <v>868</v>
      </c>
      <c r="B313" s="4" t="s">
        <v>103</v>
      </c>
      <c r="C313" s="2" t="str">
        <f t="shared" si="8"/>
        <v>Aug</v>
      </c>
      <c r="D313" s="2">
        <f t="shared" si="9"/>
        <v>2025</v>
      </c>
      <c r="E313" s="2" t="s">
        <v>869</v>
      </c>
      <c r="F313" s="2" t="s">
        <v>12</v>
      </c>
      <c r="G313" s="2" t="s">
        <v>25</v>
      </c>
      <c r="H313" s="2" t="s">
        <v>169</v>
      </c>
      <c r="I313" s="2">
        <v>38250.800000000003</v>
      </c>
      <c r="J313" s="2">
        <v>6</v>
      </c>
      <c r="K313" s="2">
        <v>11080</v>
      </c>
      <c r="L313" s="2"/>
    </row>
    <row r="314" spans="1:12" x14ac:dyDescent="0.25">
      <c r="A314" s="2" t="s">
        <v>870</v>
      </c>
      <c r="B314" s="4" t="s">
        <v>871</v>
      </c>
      <c r="C314" s="2" t="str">
        <f t="shared" si="8"/>
        <v>Oct</v>
      </c>
      <c r="D314" s="2">
        <f t="shared" si="9"/>
        <v>2025</v>
      </c>
      <c r="E314" s="2" t="s">
        <v>872</v>
      </c>
      <c r="F314" s="2" t="s">
        <v>38</v>
      </c>
      <c r="G314" s="2" t="s">
        <v>54</v>
      </c>
      <c r="H314" s="2" t="s">
        <v>55</v>
      </c>
      <c r="I314" s="2">
        <v>45382.82</v>
      </c>
      <c r="J314" s="2">
        <v>9</v>
      </c>
      <c r="K314" s="2">
        <v>8618.42</v>
      </c>
      <c r="L314" s="2"/>
    </row>
    <row r="315" spans="1:12" x14ac:dyDescent="0.25">
      <c r="A315" s="2" t="s">
        <v>873</v>
      </c>
      <c r="B315" s="4" t="s">
        <v>874</v>
      </c>
      <c r="C315" s="2" t="str">
        <f t="shared" si="8"/>
        <v>Dec</v>
      </c>
      <c r="D315" s="2">
        <f t="shared" si="9"/>
        <v>2025</v>
      </c>
      <c r="E315" s="2" t="s">
        <v>875</v>
      </c>
      <c r="F315" s="2" t="s">
        <v>42</v>
      </c>
      <c r="G315" s="2" t="s">
        <v>54</v>
      </c>
      <c r="H315" s="2" t="s">
        <v>84</v>
      </c>
      <c r="I315" s="2">
        <v>2724.42</v>
      </c>
      <c r="J315" s="2">
        <v>9</v>
      </c>
      <c r="K315" s="2">
        <v>363.33</v>
      </c>
      <c r="L315" s="2"/>
    </row>
    <row r="316" spans="1:12" x14ac:dyDescent="0.25">
      <c r="A316" s="2" t="s">
        <v>876</v>
      </c>
      <c r="B316" s="4" t="s">
        <v>375</v>
      </c>
      <c r="C316" s="2" t="str">
        <f t="shared" si="8"/>
        <v>Oct</v>
      </c>
      <c r="D316" s="2">
        <f t="shared" si="9"/>
        <v>2025</v>
      </c>
      <c r="E316" s="2" t="s">
        <v>877</v>
      </c>
      <c r="F316" s="2" t="s">
        <v>97</v>
      </c>
      <c r="G316" s="2" t="s">
        <v>13</v>
      </c>
      <c r="H316" s="2" t="s">
        <v>121</v>
      </c>
      <c r="I316" s="2">
        <v>30912.28</v>
      </c>
      <c r="J316" s="2">
        <v>3</v>
      </c>
      <c r="K316" s="2">
        <v>6120.9</v>
      </c>
      <c r="L316" s="2"/>
    </row>
    <row r="317" spans="1:12" x14ac:dyDescent="0.25">
      <c r="A317" s="2" t="s">
        <v>878</v>
      </c>
      <c r="B317" s="4" t="s">
        <v>775</v>
      </c>
      <c r="C317" s="2" t="str">
        <f t="shared" si="8"/>
        <v>Sep</v>
      </c>
      <c r="D317" s="2">
        <f t="shared" si="9"/>
        <v>2025</v>
      </c>
      <c r="E317" s="2" t="s">
        <v>879</v>
      </c>
      <c r="F317" s="2" t="s">
        <v>97</v>
      </c>
      <c r="G317" s="2" t="s">
        <v>13</v>
      </c>
      <c r="H317" s="2" t="s">
        <v>77</v>
      </c>
      <c r="I317" s="2">
        <v>39466.639999999999</v>
      </c>
      <c r="J317" s="2">
        <v>7</v>
      </c>
      <c r="K317" s="2">
        <v>6894.12</v>
      </c>
      <c r="L317" s="2"/>
    </row>
    <row r="318" spans="1:12" x14ac:dyDescent="0.25">
      <c r="A318" s="2" t="s">
        <v>880</v>
      </c>
      <c r="B318" s="4" t="s">
        <v>650</v>
      </c>
      <c r="C318" s="2" t="str">
        <f t="shared" si="8"/>
        <v>Jan</v>
      </c>
      <c r="D318" s="2">
        <f t="shared" si="9"/>
        <v>2025</v>
      </c>
      <c r="E318" s="2" t="s">
        <v>881</v>
      </c>
      <c r="F318" s="2" t="s">
        <v>12</v>
      </c>
      <c r="G318" s="2" t="s">
        <v>54</v>
      </c>
      <c r="H318" s="2" t="s">
        <v>138</v>
      </c>
      <c r="I318" s="2">
        <v>18698.3</v>
      </c>
      <c r="J318" s="2">
        <v>1</v>
      </c>
      <c r="K318" s="2">
        <v>3356.13</v>
      </c>
      <c r="L318" s="2"/>
    </row>
    <row r="319" spans="1:12" x14ac:dyDescent="0.25">
      <c r="A319" s="2" t="s">
        <v>882</v>
      </c>
      <c r="B319" s="4" t="s">
        <v>119</v>
      </c>
      <c r="C319" s="2" t="str">
        <f t="shared" si="8"/>
        <v>Aug</v>
      </c>
      <c r="D319" s="2">
        <f t="shared" si="9"/>
        <v>2025</v>
      </c>
      <c r="E319" s="2" t="s">
        <v>883</v>
      </c>
      <c r="F319" s="2" t="s">
        <v>24</v>
      </c>
      <c r="G319" s="2" t="s">
        <v>19</v>
      </c>
      <c r="H319" s="2" t="s">
        <v>59</v>
      </c>
      <c r="I319" s="2">
        <v>28343.39</v>
      </c>
      <c r="J319" s="2">
        <v>8</v>
      </c>
      <c r="K319" s="2">
        <v>8097.05</v>
      </c>
      <c r="L319" s="2"/>
    </row>
    <row r="320" spans="1:12" x14ac:dyDescent="0.25">
      <c r="A320" s="2" t="s">
        <v>884</v>
      </c>
      <c r="B320" s="4" t="s">
        <v>523</v>
      </c>
      <c r="C320" s="2" t="str">
        <f t="shared" si="8"/>
        <v>Jan</v>
      </c>
      <c r="D320" s="2">
        <f t="shared" si="9"/>
        <v>2025</v>
      </c>
      <c r="E320" s="2" t="s">
        <v>885</v>
      </c>
      <c r="F320" s="2" t="s">
        <v>24</v>
      </c>
      <c r="G320" s="2" t="s">
        <v>13</v>
      </c>
      <c r="H320" s="2" t="s">
        <v>14</v>
      </c>
      <c r="I320" s="2">
        <v>7331.36</v>
      </c>
      <c r="J320" s="2">
        <v>3</v>
      </c>
      <c r="K320" s="2">
        <v>761.14</v>
      </c>
      <c r="L320" s="2"/>
    </row>
    <row r="321" spans="1:12" x14ac:dyDescent="0.25">
      <c r="A321" s="2" t="s">
        <v>886</v>
      </c>
      <c r="B321" s="4" t="s">
        <v>297</v>
      </c>
      <c r="C321" s="2" t="str">
        <f t="shared" si="8"/>
        <v>Dec</v>
      </c>
      <c r="D321" s="2">
        <f t="shared" si="9"/>
        <v>2025</v>
      </c>
      <c r="E321" s="2" t="s">
        <v>887</v>
      </c>
      <c r="F321" s="2" t="s">
        <v>18</v>
      </c>
      <c r="G321" s="2" t="s">
        <v>13</v>
      </c>
      <c r="H321" s="2" t="s">
        <v>30</v>
      </c>
      <c r="I321" s="2">
        <v>18353.5</v>
      </c>
      <c r="J321" s="2">
        <v>6</v>
      </c>
      <c r="K321" s="2">
        <v>3784.13</v>
      </c>
      <c r="L321" s="2"/>
    </row>
    <row r="322" spans="1:12" x14ac:dyDescent="0.25">
      <c r="A322" s="2" t="s">
        <v>888</v>
      </c>
      <c r="B322" s="4" t="s">
        <v>889</v>
      </c>
      <c r="C322" s="2" t="str">
        <f t="shared" si="8"/>
        <v>Jun</v>
      </c>
      <c r="D322" s="2">
        <f t="shared" si="9"/>
        <v>2025</v>
      </c>
      <c r="E322" s="2" t="s">
        <v>890</v>
      </c>
      <c r="F322" s="2" t="s">
        <v>38</v>
      </c>
      <c r="G322" s="2" t="s">
        <v>54</v>
      </c>
      <c r="H322" s="2" t="s">
        <v>55</v>
      </c>
      <c r="I322" s="2">
        <v>29555.599999999999</v>
      </c>
      <c r="J322" s="2">
        <v>6</v>
      </c>
      <c r="K322" s="2">
        <v>5152.6400000000003</v>
      </c>
      <c r="L322" s="2"/>
    </row>
    <row r="323" spans="1:12" x14ac:dyDescent="0.25">
      <c r="A323" s="2" t="s">
        <v>891</v>
      </c>
      <c r="B323" s="4" t="s">
        <v>892</v>
      </c>
      <c r="C323" s="2" t="str">
        <f t="shared" ref="C323:C386" si="10">TEXT(B323, "mmm")</f>
        <v>Sep</v>
      </c>
      <c r="D323" s="2">
        <f t="shared" ref="D323:D386" si="11">YEAR(B323)</f>
        <v>2025</v>
      </c>
      <c r="E323" s="2" t="s">
        <v>893</v>
      </c>
      <c r="F323" s="2" t="s">
        <v>24</v>
      </c>
      <c r="G323" s="2" t="s">
        <v>25</v>
      </c>
      <c r="H323" s="2" t="s">
        <v>365</v>
      </c>
      <c r="I323" s="2">
        <v>1869.65</v>
      </c>
      <c r="J323" s="2">
        <v>1</v>
      </c>
      <c r="K323" s="2">
        <v>28.3</v>
      </c>
      <c r="L323" s="2"/>
    </row>
    <row r="324" spans="1:12" x14ac:dyDescent="0.25">
      <c r="A324" s="2" t="s">
        <v>894</v>
      </c>
      <c r="B324" s="4" t="s">
        <v>526</v>
      </c>
      <c r="C324" s="2" t="str">
        <f t="shared" si="10"/>
        <v>Jun</v>
      </c>
      <c r="D324" s="2">
        <f t="shared" si="11"/>
        <v>2025</v>
      </c>
      <c r="E324" s="2" t="s">
        <v>895</v>
      </c>
      <c r="F324" s="2" t="s">
        <v>38</v>
      </c>
      <c r="G324" s="2" t="s">
        <v>13</v>
      </c>
      <c r="H324" s="2" t="s">
        <v>30</v>
      </c>
      <c r="I324" s="2">
        <v>38655.06</v>
      </c>
      <c r="J324" s="2">
        <v>9</v>
      </c>
      <c r="K324" s="2">
        <v>8570.26</v>
      </c>
      <c r="L324" s="2"/>
    </row>
    <row r="325" spans="1:12" x14ac:dyDescent="0.25">
      <c r="A325" s="2" t="s">
        <v>896</v>
      </c>
      <c r="B325" s="4" t="s">
        <v>472</v>
      </c>
      <c r="C325" s="2" t="str">
        <f t="shared" si="10"/>
        <v>Jul</v>
      </c>
      <c r="D325" s="2">
        <f t="shared" si="11"/>
        <v>2025</v>
      </c>
      <c r="E325" s="2" t="s">
        <v>897</v>
      </c>
      <c r="F325" s="2" t="s">
        <v>18</v>
      </c>
      <c r="G325" s="2" t="s">
        <v>54</v>
      </c>
      <c r="H325" s="2" t="s">
        <v>84</v>
      </c>
      <c r="I325" s="2">
        <v>49155.53</v>
      </c>
      <c r="J325" s="2">
        <v>2</v>
      </c>
      <c r="K325" s="2">
        <v>-1227.73</v>
      </c>
      <c r="L325" s="2"/>
    </row>
    <row r="326" spans="1:12" x14ac:dyDescent="0.25">
      <c r="A326" s="2" t="s">
        <v>898</v>
      </c>
      <c r="B326" s="4" t="s">
        <v>400</v>
      </c>
      <c r="C326" s="2" t="str">
        <f t="shared" si="10"/>
        <v>Feb</v>
      </c>
      <c r="D326" s="2">
        <f t="shared" si="11"/>
        <v>2025</v>
      </c>
      <c r="E326" s="2" t="s">
        <v>899</v>
      </c>
      <c r="F326" s="2" t="s">
        <v>12</v>
      </c>
      <c r="G326" s="2" t="s">
        <v>13</v>
      </c>
      <c r="H326" s="2" t="s">
        <v>73</v>
      </c>
      <c r="I326" s="2">
        <v>19594.14</v>
      </c>
      <c r="J326" s="2">
        <v>6</v>
      </c>
      <c r="K326" s="2">
        <v>2482.4699999999998</v>
      </c>
      <c r="L326" s="2"/>
    </row>
    <row r="327" spans="1:12" x14ac:dyDescent="0.25">
      <c r="A327" s="2" t="s">
        <v>900</v>
      </c>
      <c r="B327" s="4" t="s">
        <v>901</v>
      </c>
      <c r="C327" s="2" t="str">
        <f t="shared" si="10"/>
        <v>Jun</v>
      </c>
      <c r="D327" s="2">
        <f t="shared" si="11"/>
        <v>2025</v>
      </c>
      <c r="E327" s="2" t="s">
        <v>196</v>
      </c>
      <c r="F327" s="2" t="s">
        <v>38</v>
      </c>
      <c r="G327" s="2" t="s">
        <v>13</v>
      </c>
      <c r="H327" s="2" t="s">
        <v>14</v>
      </c>
      <c r="I327" s="2">
        <v>18110.21</v>
      </c>
      <c r="J327" s="2">
        <v>1</v>
      </c>
      <c r="K327" s="2">
        <v>3106.01</v>
      </c>
      <c r="L327" s="2"/>
    </row>
    <row r="328" spans="1:12" x14ac:dyDescent="0.25">
      <c r="A328" s="2" t="s">
        <v>902</v>
      </c>
      <c r="B328" s="4" t="s">
        <v>775</v>
      </c>
      <c r="C328" s="2" t="str">
        <f t="shared" si="10"/>
        <v>Sep</v>
      </c>
      <c r="D328" s="2">
        <f t="shared" si="11"/>
        <v>2025</v>
      </c>
      <c r="E328" s="2" t="s">
        <v>903</v>
      </c>
      <c r="F328" s="2" t="s">
        <v>38</v>
      </c>
      <c r="G328" s="2" t="s">
        <v>54</v>
      </c>
      <c r="H328" s="2" t="s">
        <v>138</v>
      </c>
      <c r="I328" s="2">
        <v>9705.0400000000009</v>
      </c>
      <c r="J328" s="2">
        <v>6</v>
      </c>
      <c r="K328" s="2">
        <v>1432.1</v>
      </c>
      <c r="L328" s="2"/>
    </row>
    <row r="329" spans="1:12" x14ac:dyDescent="0.25">
      <c r="A329" s="2" t="s">
        <v>904</v>
      </c>
      <c r="B329" s="4" t="s">
        <v>455</v>
      </c>
      <c r="C329" s="2" t="str">
        <f t="shared" si="10"/>
        <v>May</v>
      </c>
      <c r="D329" s="2">
        <f t="shared" si="11"/>
        <v>2025</v>
      </c>
      <c r="E329" s="2" t="s">
        <v>905</v>
      </c>
      <c r="F329" s="2" t="s">
        <v>97</v>
      </c>
      <c r="G329" s="2" t="s">
        <v>19</v>
      </c>
      <c r="H329" s="2" t="s">
        <v>43</v>
      </c>
      <c r="I329" s="2">
        <v>18685.37</v>
      </c>
      <c r="J329" s="2">
        <v>3</v>
      </c>
      <c r="K329" s="2">
        <v>726.01</v>
      </c>
      <c r="L329" s="2"/>
    </row>
    <row r="330" spans="1:12" x14ac:dyDescent="0.25">
      <c r="A330" s="2" t="s">
        <v>906</v>
      </c>
      <c r="B330" s="4" t="s">
        <v>907</v>
      </c>
      <c r="C330" s="2" t="str">
        <f t="shared" si="10"/>
        <v>Jul</v>
      </c>
      <c r="D330" s="2">
        <f t="shared" si="11"/>
        <v>2025</v>
      </c>
      <c r="E330" s="2" t="s">
        <v>908</v>
      </c>
      <c r="F330" s="2" t="s">
        <v>97</v>
      </c>
      <c r="G330" s="2" t="s">
        <v>54</v>
      </c>
      <c r="H330" s="2" t="s">
        <v>55</v>
      </c>
      <c r="I330" s="2">
        <v>36113.47</v>
      </c>
      <c r="J330" s="2">
        <v>10</v>
      </c>
      <c r="K330" s="2">
        <v>10398.42</v>
      </c>
      <c r="L330" s="2"/>
    </row>
    <row r="331" spans="1:12" x14ac:dyDescent="0.25">
      <c r="A331" s="2" t="s">
        <v>909</v>
      </c>
      <c r="B331" s="4" t="s">
        <v>910</v>
      </c>
      <c r="C331" s="2" t="str">
        <f t="shared" si="10"/>
        <v>Aug</v>
      </c>
      <c r="D331" s="2">
        <f t="shared" si="11"/>
        <v>2025</v>
      </c>
      <c r="E331" s="2" t="s">
        <v>911</v>
      </c>
      <c r="F331" s="2" t="s">
        <v>18</v>
      </c>
      <c r="G331" s="2" t="s">
        <v>19</v>
      </c>
      <c r="H331" s="2" t="s">
        <v>43</v>
      </c>
      <c r="I331" s="2">
        <v>33709.870000000003</v>
      </c>
      <c r="J331" s="2">
        <v>8</v>
      </c>
      <c r="K331" s="2">
        <v>5930.31</v>
      </c>
      <c r="L331" s="2"/>
    </row>
    <row r="332" spans="1:12" x14ac:dyDescent="0.25">
      <c r="A332" s="2" t="s">
        <v>912</v>
      </c>
      <c r="B332" s="4" t="s">
        <v>913</v>
      </c>
      <c r="C332" s="2" t="str">
        <f t="shared" si="10"/>
        <v>Apr</v>
      </c>
      <c r="D332" s="2">
        <f t="shared" si="11"/>
        <v>2025</v>
      </c>
      <c r="E332" s="2" t="s">
        <v>914</v>
      </c>
      <c r="F332" s="2" t="s">
        <v>12</v>
      </c>
      <c r="G332" s="2" t="s">
        <v>13</v>
      </c>
      <c r="H332" s="2" t="s">
        <v>73</v>
      </c>
      <c r="I332" s="2">
        <v>42604.27</v>
      </c>
      <c r="J332" s="2">
        <v>7</v>
      </c>
      <c r="K332" s="2">
        <v>10157.82</v>
      </c>
      <c r="L332" s="2"/>
    </row>
    <row r="333" spans="1:12" x14ac:dyDescent="0.25">
      <c r="A333" s="2" t="s">
        <v>915</v>
      </c>
      <c r="B333" s="4" t="s">
        <v>916</v>
      </c>
      <c r="C333" s="2" t="str">
        <f t="shared" si="10"/>
        <v>Jun</v>
      </c>
      <c r="D333" s="2">
        <f t="shared" si="11"/>
        <v>2025</v>
      </c>
      <c r="E333" s="2" t="s">
        <v>917</v>
      </c>
      <c r="F333" s="2" t="s">
        <v>34</v>
      </c>
      <c r="G333" s="2" t="s">
        <v>13</v>
      </c>
      <c r="H333" s="2" t="s">
        <v>14</v>
      </c>
      <c r="I333" s="2">
        <v>3926.44</v>
      </c>
      <c r="J333" s="2">
        <v>3</v>
      </c>
      <c r="K333" s="2">
        <v>276.73</v>
      </c>
      <c r="L333" s="2"/>
    </row>
    <row r="334" spans="1:12" x14ac:dyDescent="0.25">
      <c r="A334" s="2" t="s">
        <v>918</v>
      </c>
      <c r="B334" s="4" t="s">
        <v>752</v>
      </c>
      <c r="C334" s="2" t="str">
        <f t="shared" si="10"/>
        <v>Mar</v>
      </c>
      <c r="D334" s="2">
        <f t="shared" si="11"/>
        <v>2025</v>
      </c>
      <c r="E334" s="2" t="s">
        <v>919</v>
      </c>
      <c r="F334" s="2" t="s">
        <v>18</v>
      </c>
      <c r="G334" s="2" t="s">
        <v>54</v>
      </c>
      <c r="H334" s="2" t="s">
        <v>138</v>
      </c>
      <c r="I334" s="2">
        <v>25503.32</v>
      </c>
      <c r="J334" s="2">
        <v>6</v>
      </c>
      <c r="K334" s="2">
        <v>7144.22</v>
      </c>
      <c r="L334" s="2"/>
    </row>
    <row r="335" spans="1:12" x14ac:dyDescent="0.25">
      <c r="A335" s="2" t="s">
        <v>920</v>
      </c>
      <c r="B335" s="4" t="s">
        <v>921</v>
      </c>
      <c r="C335" s="2" t="str">
        <f t="shared" si="10"/>
        <v>Sep</v>
      </c>
      <c r="D335" s="2">
        <f t="shared" si="11"/>
        <v>2025</v>
      </c>
      <c r="E335" s="2" t="s">
        <v>922</v>
      </c>
      <c r="F335" s="2" t="s">
        <v>18</v>
      </c>
      <c r="G335" s="2" t="s">
        <v>25</v>
      </c>
      <c r="H335" s="2" t="s">
        <v>365</v>
      </c>
      <c r="I335" s="2">
        <v>22761.360000000001</v>
      </c>
      <c r="J335" s="2">
        <v>4</v>
      </c>
      <c r="K335" s="2">
        <v>6222.59</v>
      </c>
      <c r="L335" s="2"/>
    </row>
    <row r="336" spans="1:12" x14ac:dyDescent="0.25">
      <c r="A336" s="2" t="s">
        <v>923</v>
      </c>
      <c r="B336" s="4" t="s">
        <v>28</v>
      </c>
      <c r="C336" s="2" t="str">
        <f t="shared" si="10"/>
        <v>Oct</v>
      </c>
      <c r="D336" s="2">
        <f t="shared" si="11"/>
        <v>2025</v>
      </c>
      <c r="E336" s="2" t="s">
        <v>924</v>
      </c>
      <c r="F336" s="2" t="s">
        <v>12</v>
      </c>
      <c r="G336" s="2" t="s">
        <v>13</v>
      </c>
      <c r="H336" s="2" t="s">
        <v>77</v>
      </c>
      <c r="I336" s="2">
        <v>25723.1</v>
      </c>
      <c r="J336" s="2">
        <v>4</v>
      </c>
      <c r="K336" s="2">
        <v>4649.33</v>
      </c>
      <c r="L336" s="2"/>
    </row>
    <row r="337" spans="1:12" x14ac:dyDescent="0.25">
      <c r="A337" s="2" t="s">
        <v>925</v>
      </c>
      <c r="B337" s="4" t="s">
        <v>653</v>
      </c>
      <c r="C337" s="2" t="str">
        <f t="shared" si="10"/>
        <v>Jul</v>
      </c>
      <c r="D337" s="2">
        <f t="shared" si="11"/>
        <v>2025</v>
      </c>
      <c r="E337" s="2" t="s">
        <v>926</v>
      </c>
      <c r="F337" s="2" t="s">
        <v>34</v>
      </c>
      <c r="G337" s="2" t="s">
        <v>19</v>
      </c>
      <c r="H337" s="2" t="s">
        <v>101</v>
      </c>
      <c r="I337" s="2">
        <v>38234.49</v>
      </c>
      <c r="J337" s="2">
        <v>4</v>
      </c>
      <c r="K337" s="2">
        <v>5533.81</v>
      </c>
      <c r="L337" s="2"/>
    </row>
    <row r="338" spans="1:12" x14ac:dyDescent="0.25">
      <c r="A338" s="2" t="s">
        <v>927</v>
      </c>
      <c r="B338" s="4" t="s">
        <v>752</v>
      </c>
      <c r="C338" s="2" t="str">
        <f t="shared" si="10"/>
        <v>Mar</v>
      </c>
      <c r="D338" s="2">
        <f t="shared" si="11"/>
        <v>2025</v>
      </c>
      <c r="E338" s="2" t="s">
        <v>928</v>
      </c>
      <c r="F338" s="2" t="s">
        <v>34</v>
      </c>
      <c r="G338" s="2" t="s">
        <v>25</v>
      </c>
      <c r="H338" s="2" t="s">
        <v>365</v>
      </c>
      <c r="I338" s="2">
        <v>14184.39</v>
      </c>
      <c r="J338" s="2">
        <v>6</v>
      </c>
      <c r="K338" s="2">
        <v>106.04</v>
      </c>
      <c r="L338" s="2"/>
    </row>
    <row r="339" spans="1:12" x14ac:dyDescent="0.25">
      <c r="A339" s="2" t="s">
        <v>929</v>
      </c>
      <c r="B339" s="4" t="s">
        <v>600</v>
      </c>
      <c r="C339" s="2" t="str">
        <f t="shared" si="10"/>
        <v>Dec</v>
      </c>
      <c r="D339" s="2">
        <f t="shared" si="11"/>
        <v>2025</v>
      </c>
      <c r="E339" s="2" t="s">
        <v>930</v>
      </c>
      <c r="F339" s="2" t="s">
        <v>18</v>
      </c>
      <c r="G339" s="2" t="s">
        <v>19</v>
      </c>
      <c r="H339" s="2" t="s">
        <v>63</v>
      </c>
      <c r="I339" s="2">
        <v>26644.87</v>
      </c>
      <c r="J339" s="2">
        <v>4</v>
      </c>
      <c r="K339" s="2">
        <v>468.84</v>
      </c>
      <c r="L339" s="2"/>
    </row>
    <row r="340" spans="1:12" x14ac:dyDescent="0.25">
      <c r="A340" s="2" t="s">
        <v>931</v>
      </c>
      <c r="B340" s="4" t="s">
        <v>932</v>
      </c>
      <c r="C340" s="2" t="str">
        <f t="shared" si="10"/>
        <v>Nov</v>
      </c>
      <c r="D340" s="2">
        <f t="shared" si="11"/>
        <v>2025</v>
      </c>
      <c r="E340" s="2" t="s">
        <v>933</v>
      </c>
      <c r="F340" s="2" t="s">
        <v>18</v>
      </c>
      <c r="G340" s="2" t="s">
        <v>19</v>
      </c>
      <c r="H340" s="2" t="s">
        <v>59</v>
      </c>
      <c r="I340" s="2">
        <v>21430.560000000001</v>
      </c>
      <c r="J340" s="2">
        <v>7</v>
      </c>
      <c r="K340" s="2">
        <v>5453.35</v>
      </c>
      <c r="L340" s="2"/>
    </row>
    <row r="341" spans="1:12" x14ac:dyDescent="0.25">
      <c r="A341" s="2" t="s">
        <v>934</v>
      </c>
      <c r="B341" s="4" t="s">
        <v>386</v>
      </c>
      <c r="C341" s="2" t="str">
        <f t="shared" si="10"/>
        <v>Sep</v>
      </c>
      <c r="D341" s="2">
        <f t="shared" si="11"/>
        <v>2025</v>
      </c>
      <c r="E341" s="2" t="s">
        <v>935</v>
      </c>
      <c r="F341" s="2" t="s">
        <v>24</v>
      </c>
      <c r="G341" s="2" t="s">
        <v>13</v>
      </c>
      <c r="H341" s="2" t="s">
        <v>121</v>
      </c>
      <c r="I341" s="2">
        <v>44571.12</v>
      </c>
      <c r="J341" s="2">
        <v>2</v>
      </c>
      <c r="K341" s="2">
        <v>9301.2000000000007</v>
      </c>
      <c r="L341" s="2"/>
    </row>
    <row r="342" spans="1:12" x14ac:dyDescent="0.25">
      <c r="A342" s="2" t="s">
        <v>936</v>
      </c>
      <c r="B342" s="4" t="s">
        <v>937</v>
      </c>
      <c r="C342" s="2" t="str">
        <f t="shared" si="10"/>
        <v>Jun</v>
      </c>
      <c r="D342" s="2">
        <f t="shared" si="11"/>
        <v>2025</v>
      </c>
      <c r="E342" s="2" t="s">
        <v>938</v>
      </c>
      <c r="F342" s="2" t="s">
        <v>42</v>
      </c>
      <c r="G342" s="2" t="s">
        <v>13</v>
      </c>
      <c r="H342" s="2" t="s">
        <v>30</v>
      </c>
      <c r="I342" s="2">
        <v>30834.19</v>
      </c>
      <c r="J342" s="2">
        <v>10</v>
      </c>
      <c r="K342" s="2">
        <v>4710.6499999999996</v>
      </c>
      <c r="L342" s="2"/>
    </row>
    <row r="343" spans="1:12" x14ac:dyDescent="0.25">
      <c r="A343" s="2" t="s">
        <v>939</v>
      </c>
      <c r="B343" s="4" t="s">
        <v>174</v>
      </c>
      <c r="C343" s="2" t="str">
        <f t="shared" si="10"/>
        <v>Feb</v>
      </c>
      <c r="D343" s="2">
        <f t="shared" si="11"/>
        <v>2025</v>
      </c>
      <c r="E343" s="2" t="s">
        <v>940</v>
      </c>
      <c r="F343" s="2" t="s">
        <v>34</v>
      </c>
      <c r="G343" s="2" t="s">
        <v>25</v>
      </c>
      <c r="H343" s="2" t="s">
        <v>47</v>
      </c>
      <c r="I343" s="2">
        <v>20684.43</v>
      </c>
      <c r="J343" s="2">
        <v>5</v>
      </c>
      <c r="K343" s="2">
        <v>-458.96</v>
      </c>
      <c r="L343" s="2"/>
    </row>
    <row r="344" spans="1:12" x14ac:dyDescent="0.25">
      <c r="A344" s="2" t="s">
        <v>941</v>
      </c>
      <c r="B344" s="4" t="s">
        <v>942</v>
      </c>
      <c r="C344" s="2" t="str">
        <f t="shared" si="10"/>
        <v>Mar</v>
      </c>
      <c r="D344" s="2">
        <f t="shared" si="11"/>
        <v>2025</v>
      </c>
      <c r="E344" s="2" t="s">
        <v>943</v>
      </c>
      <c r="F344" s="2" t="s">
        <v>12</v>
      </c>
      <c r="G344" s="2" t="s">
        <v>25</v>
      </c>
      <c r="H344" s="2" t="s">
        <v>47</v>
      </c>
      <c r="I344" s="2">
        <v>27718.57</v>
      </c>
      <c r="J344" s="2">
        <v>8</v>
      </c>
      <c r="K344" s="2">
        <v>930.22</v>
      </c>
      <c r="L344" s="2"/>
    </row>
    <row r="345" spans="1:12" x14ac:dyDescent="0.25">
      <c r="A345" s="2" t="s">
        <v>944</v>
      </c>
      <c r="B345" s="4" t="s">
        <v>945</v>
      </c>
      <c r="C345" s="2" t="str">
        <f t="shared" si="10"/>
        <v>Dec</v>
      </c>
      <c r="D345" s="2">
        <f t="shared" si="11"/>
        <v>2025</v>
      </c>
      <c r="E345" s="2" t="s">
        <v>946</v>
      </c>
      <c r="F345" s="2" t="s">
        <v>38</v>
      </c>
      <c r="G345" s="2" t="s">
        <v>13</v>
      </c>
      <c r="H345" s="2" t="s">
        <v>30</v>
      </c>
      <c r="I345" s="2">
        <v>4717</v>
      </c>
      <c r="J345" s="2">
        <v>10</v>
      </c>
      <c r="K345" s="2">
        <v>788.5</v>
      </c>
      <c r="L345" s="2"/>
    </row>
    <row r="346" spans="1:12" x14ac:dyDescent="0.25">
      <c r="A346" s="2" t="s">
        <v>947</v>
      </c>
      <c r="B346" s="4" t="s">
        <v>948</v>
      </c>
      <c r="C346" s="2" t="str">
        <f t="shared" si="10"/>
        <v>Sep</v>
      </c>
      <c r="D346" s="2">
        <f t="shared" si="11"/>
        <v>2025</v>
      </c>
      <c r="E346" s="2" t="s">
        <v>949</v>
      </c>
      <c r="F346" s="2" t="s">
        <v>12</v>
      </c>
      <c r="G346" s="2" t="s">
        <v>54</v>
      </c>
      <c r="H346" s="2" t="s">
        <v>190</v>
      </c>
      <c r="I346" s="2">
        <v>9022.1299999999992</v>
      </c>
      <c r="J346" s="2">
        <v>1</v>
      </c>
      <c r="K346" s="2">
        <v>1700.83</v>
      </c>
      <c r="L346" s="2"/>
    </row>
    <row r="347" spans="1:12" x14ac:dyDescent="0.25">
      <c r="A347" s="2" t="s">
        <v>950</v>
      </c>
      <c r="B347" s="4" t="s">
        <v>951</v>
      </c>
      <c r="C347" s="2" t="str">
        <f t="shared" si="10"/>
        <v>Oct</v>
      </c>
      <c r="D347" s="2">
        <f t="shared" si="11"/>
        <v>2025</v>
      </c>
      <c r="E347" s="2" t="s">
        <v>952</v>
      </c>
      <c r="F347" s="2" t="s">
        <v>42</v>
      </c>
      <c r="G347" s="2" t="s">
        <v>25</v>
      </c>
      <c r="H347" s="2" t="s">
        <v>47</v>
      </c>
      <c r="I347" s="2">
        <v>35230.58</v>
      </c>
      <c r="J347" s="2">
        <v>3</v>
      </c>
      <c r="K347" s="2">
        <v>4124.75</v>
      </c>
      <c r="L347" s="2"/>
    </row>
    <row r="348" spans="1:12" x14ac:dyDescent="0.25">
      <c r="A348" s="2" t="s">
        <v>953</v>
      </c>
      <c r="B348" s="4" t="s">
        <v>954</v>
      </c>
      <c r="C348" s="2" t="str">
        <f t="shared" si="10"/>
        <v>Jun</v>
      </c>
      <c r="D348" s="2">
        <f t="shared" si="11"/>
        <v>2025</v>
      </c>
      <c r="E348" s="2" t="s">
        <v>955</v>
      </c>
      <c r="F348" s="2" t="s">
        <v>38</v>
      </c>
      <c r="G348" s="2" t="s">
        <v>19</v>
      </c>
      <c r="H348" s="2" t="s">
        <v>63</v>
      </c>
      <c r="I348" s="2">
        <v>13211.88</v>
      </c>
      <c r="J348" s="2">
        <v>9</v>
      </c>
      <c r="K348" s="2">
        <v>1599.56</v>
      </c>
      <c r="L348" s="2"/>
    </row>
    <row r="349" spans="1:12" x14ac:dyDescent="0.25">
      <c r="A349" s="2" t="s">
        <v>956</v>
      </c>
      <c r="B349" s="4" t="s">
        <v>431</v>
      </c>
      <c r="C349" s="2" t="str">
        <f t="shared" si="10"/>
        <v>Feb</v>
      </c>
      <c r="D349" s="2">
        <f t="shared" si="11"/>
        <v>2025</v>
      </c>
      <c r="E349" s="2" t="s">
        <v>957</v>
      </c>
      <c r="F349" s="2" t="s">
        <v>42</v>
      </c>
      <c r="G349" s="2" t="s">
        <v>25</v>
      </c>
      <c r="H349" s="2" t="s">
        <v>365</v>
      </c>
      <c r="I349" s="2">
        <v>11355.03</v>
      </c>
      <c r="J349" s="2">
        <v>3</v>
      </c>
      <c r="K349" s="2">
        <v>1776.6</v>
      </c>
      <c r="L349" s="2"/>
    </row>
    <row r="350" spans="1:12" x14ac:dyDescent="0.25">
      <c r="A350" s="2" t="s">
        <v>958</v>
      </c>
      <c r="B350" s="4" t="s">
        <v>959</v>
      </c>
      <c r="C350" s="2" t="str">
        <f t="shared" si="10"/>
        <v>Jan</v>
      </c>
      <c r="D350" s="2">
        <f t="shared" si="11"/>
        <v>2025</v>
      </c>
      <c r="E350" s="2" t="s">
        <v>960</v>
      </c>
      <c r="F350" s="2" t="s">
        <v>12</v>
      </c>
      <c r="G350" s="2" t="s">
        <v>13</v>
      </c>
      <c r="H350" s="2" t="s">
        <v>121</v>
      </c>
      <c r="I350" s="2">
        <v>14641.46</v>
      </c>
      <c r="J350" s="2">
        <v>2</v>
      </c>
      <c r="K350" s="2">
        <v>1372.26</v>
      </c>
      <c r="L350" s="2"/>
    </row>
    <row r="351" spans="1:12" x14ac:dyDescent="0.25">
      <c r="A351" s="2" t="s">
        <v>961</v>
      </c>
      <c r="B351" s="4" t="s">
        <v>962</v>
      </c>
      <c r="C351" s="2" t="str">
        <f t="shared" si="10"/>
        <v>Jan</v>
      </c>
      <c r="D351" s="2">
        <f t="shared" si="11"/>
        <v>2025</v>
      </c>
      <c r="E351" s="2" t="s">
        <v>963</v>
      </c>
      <c r="F351" s="2" t="s">
        <v>42</v>
      </c>
      <c r="G351" s="2" t="s">
        <v>25</v>
      </c>
      <c r="H351" s="2" t="s">
        <v>154</v>
      </c>
      <c r="I351" s="2">
        <v>26587.59</v>
      </c>
      <c r="J351" s="2">
        <v>1</v>
      </c>
      <c r="K351" s="2">
        <v>-1282.6500000000001</v>
      </c>
      <c r="L351" s="2"/>
    </row>
    <row r="352" spans="1:12" x14ac:dyDescent="0.25">
      <c r="A352" s="2" t="s">
        <v>964</v>
      </c>
      <c r="B352" s="4" t="s">
        <v>863</v>
      </c>
      <c r="C352" s="2" t="str">
        <f t="shared" si="10"/>
        <v>Dec</v>
      </c>
      <c r="D352" s="2">
        <f t="shared" si="11"/>
        <v>2025</v>
      </c>
      <c r="E352" s="2" t="s">
        <v>965</v>
      </c>
      <c r="F352" s="2" t="s">
        <v>12</v>
      </c>
      <c r="G352" s="2" t="s">
        <v>25</v>
      </c>
      <c r="H352" s="2" t="s">
        <v>365</v>
      </c>
      <c r="I352" s="2">
        <v>33716.42</v>
      </c>
      <c r="J352" s="2">
        <v>2</v>
      </c>
      <c r="K352" s="2">
        <v>-221.86</v>
      </c>
      <c r="L352" s="2"/>
    </row>
    <row r="353" spans="1:12" x14ac:dyDescent="0.25">
      <c r="A353" s="2" t="s">
        <v>966</v>
      </c>
      <c r="B353" s="4" t="s">
        <v>967</v>
      </c>
      <c r="C353" s="2" t="str">
        <f t="shared" si="10"/>
        <v>Jan</v>
      </c>
      <c r="D353" s="2">
        <f t="shared" si="11"/>
        <v>2025</v>
      </c>
      <c r="E353" s="2" t="s">
        <v>968</v>
      </c>
      <c r="F353" s="2" t="s">
        <v>18</v>
      </c>
      <c r="G353" s="2" t="s">
        <v>54</v>
      </c>
      <c r="H353" s="2" t="s">
        <v>111</v>
      </c>
      <c r="I353" s="2">
        <v>38060.18</v>
      </c>
      <c r="J353" s="2">
        <v>3</v>
      </c>
      <c r="K353" s="2">
        <v>7801.88</v>
      </c>
      <c r="L353" s="2"/>
    </row>
    <row r="354" spans="1:12" x14ac:dyDescent="0.25">
      <c r="A354" s="2" t="s">
        <v>969</v>
      </c>
      <c r="B354" s="4" t="s">
        <v>970</v>
      </c>
      <c r="C354" s="2" t="str">
        <f t="shared" si="10"/>
        <v>Mar</v>
      </c>
      <c r="D354" s="2">
        <f t="shared" si="11"/>
        <v>2025</v>
      </c>
      <c r="E354" s="2" t="s">
        <v>184</v>
      </c>
      <c r="F354" s="2" t="s">
        <v>18</v>
      </c>
      <c r="G354" s="2" t="s">
        <v>13</v>
      </c>
      <c r="H354" s="2" t="s">
        <v>77</v>
      </c>
      <c r="I354" s="2">
        <v>35828.660000000003</v>
      </c>
      <c r="J354" s="2">
        <v>7</v>
      </c>
      <c r="K354" s="2">
        <v>10027.23</v>
      </c>
      <c r="L354" s="2"/>
    </row>
    <row r="355" spans="1:12" x14ac:dyDescent="0.25">
      <c r="A355" s="2" t="s">
        <v>971</v>
      </c>
      <c r="B355" s="4" t="s">
        <v>972</v>
      </c>
      <c r="C355" s="2" t="str">
        <f t="shared" si="10"/>
        <v>Dec</v>
      </c>
      <c r="D355" s="2">
        <f t="shared" si="11"/>
        <v>2025</v>
      </c>
      <c r="E355" s="2" t="s">
        <v>973</v>
      </c>
      <c r="F355" s="2" t="s">
        <v>18</v>
      </c>
      <c r="G355" s="2" t="s">
        <v>13</v>
      </c>
      <c r="H355" s="2" t="s">
        <v>77</v>
      </c>
      <c r="I355" s="2">
        <v>25783.23</v>
      </c>
      <c r="J355" s="2">
        <v>2</v>
      </c>
      <c r="K355" s="2">
        <v>2259.65</v>
      </c>
      <c r="L355" s="2"/>
    </row>
    <row r="356" spans="1:12" x14ac:dyDescent="0.25">
      <c r="A356" s="2" t="s">
        <v>974</v>
      </c>
      <c r="B356" s="4" t="s">
        <v>945</v>
      </c>
      <c r="C356" s="2" t="str">
        <f t="shared" si="10"/>
        <v>Dec</v>
      </c>
      <c r="D356" s="2">
        <f t="shared" si="11"/>
        <v>2025</v>
      </c>
      <c r="E356" s="2" t="s">
        <v>975</v>
      </c>
      <c r="F356" s="2" t="s">
        <v>24</v>
      </c>
      <c r="G356" s="2" t="s">
        <v>54</v>
      </c>
      <c r="H356" s="2" t="s">
        <v>138</v>
      </c>
      <c r="I356" s="2">
        <v>4960.92</v>
      </c>
      <c r="J356" s="2">
        <v>6</v>
      </c>
      <c r="K356" s="2">
        <v>888.19</v>
      </c>
      <c r="L356" s="2"/>
    </row>
    <row r="357" spans="1:12" x14ac:dyDescent="0.25">
      <c r="A357" s="2" t="s">
        <v>976</v>
      </c>
      <c r="B357" s="4" t="s">
        <v>977</v>
      </c>
      <c r="C357" s="2" t="str">
        <f t="shared" si="10"/>
        <v>Nov</v>
      </c>
      <c r="D357" s="2">
        <f t="shared" si="11"/>
        <v>2025</v>
      </c>
      <c r="E357" s="2" t="s">
        <v>978</v>
      </c>
      <c r="F357" s="2" t="s">
        <v>42</v>
      </c>
      <c r="G357" s="2" t="s">
        <v>54</v>
      </c>
      <c r="H357" s="2" t="s">
        <v>190</v>
      </c>
      <c r="I357" s="2">
        <v>39450.71</v>
      </c>
      <c r="J357" s="2">
        <v>5</v>
      </c>
      <c r="K357" s="2">
        <v>2460.69</v>
      </c>
      <c r="L357" s="2"/>
    </row>
    <row r="358" spans="1:12" x14ac:dyDescent="0.25">
      <c r="A358" s="2" t="s">
        <v>979</v>
      </c>
      <c r="B358" s="4" t="s">
        <v>702</v>
      </c>
      <c r="C358" s="2" t="str">
        <f t="shared" si="10"/>
        <v>Sep</v>
      </c>
      <c r="D358" s="2">
        <f t="shared" si="11"/>
        <v>2025</v>
      </c>
      <c r="E358" s="2" t="s">
        <v>980</v>
      </c>
      <c r="F358" s="2" t="s">
        <v>34</v>
      </c>
      <c r="G358" s="2" t="s">
        <v>13</v>
      </c>
      <c r="H358" s="2" t="s">
        <v>73</v>
      </c>
      <c r="I358" s="2">
        <v>36397</v>
      </c>
      <c r="J358" s="2">
        <v>1</v>
      </c>
      <c r="K358" s="2">
        <v>10847.14</v>
      </c>
      <c r="L358" s="2"/>
    </row>
    <row r="359" spans="1:12" x14ac:dyDescent="0.25">
      <c r="A359" s="2" t="s">
        <v>981</v>
      </c>
      <c r="B359" s="4" t="s">
        <v>294</v>
      </c>
      <c r="C359" s="2" t="str">
        <f t="shared" si="10"/>
        <v>Feb</v>
      </c>
      <c r="D359" s="2">
        <f t="shared" si="11"/>
        <v>2025</v>
      </c>
      <c r="E359" s="2" t="s">
        <v>982</v>
      </c>
      <c r="F359" s="2" t="s">
        <v>42</v>
      </c>
      <c r="G359" s="2" t="s">
        <v>54</v>
      </c>
      <c r="H359" s="2" t="s">
        <v>55</v>
      </c>
      <c r="I359" s="2">
        <v>3968.81</v>
      </c>
      <c r="J359" s="2">
        <v>10</v>
      </c>
      <c r="K359" s="2">
        <v>318.11</v>
      </c>
      <c r="L359" s="2"/>
    </row>
    <row r="360" spans="1:12" x14ac:dyDescent="0.25">
      <c r="A360" s="2" t="s">
        <v>983</v>
      </c>
      <c r="B360" s="4" t="s">
        <v>984</v>
      </c>
      <c r="C360" s="2" t="str">
        <f t="shared" si="10"/>
        <v>Mar</v>
      </c>
      <c r="D360" s="2">
        <f t="shared" si="11"/>
        <v>2025</v>
      </c>
      <c r="E360" s="2" t="s">
        <v>985</v>
      </c>
      <c r="F360" s="2" t="s">
        <v>42</v>
      </c>
      <c r="G360" s="2" t="s">
        <v>54</v>
      </c>
      <c r="H360" s="2" t="s">
        <v>84</v>
      </c>
      <c r="I360" s="2">
        <v>35648.35</v>
      </c>
      <c r="J360" s="2">
        <v>5</v>
      </c>
      <c r="K360" s="2">
        <v>9847.84</v>
      </c>
      <c r="L360" s="2"/>
    </row>
    <row r="361" spans="1:12" x14ac:dyDescent="0.25">
      <c r="A361" s="2" t="s">
        <v>986</v>
      </c>
      <c r="B361" s="4" t="s">
        <v>809</v>
      </c>
      <c r="C361" s="2" t="str">
        <f t="shared" si="10"/>
        <v>Sep</v>
      </c>
      <c r="D361" s="2">
        <f t="shared" si="11"/>
        <v>2025</v>
      </c>
      <c r="E361" s="2" t="s">
        <v>987</v>
      </c>
      <c r="F361" s="2" t="s">
        <v>38</v>
      </c>
      <c r="G361" s="2" t="s">
        <v>54</v>
      </c>
      <c r="H361" s="2" t="s">
        <v>55</v>
      </c>
      <c r="I361" s="2">
        <v>37229.39</v>
      </c>
      <c r="J361" s="2">
        <v>8</v>
      </c>
      <c r="K361" s="2">
        <v>1789.26</v>
      </c>
      <c r="L361" s="2"/>
    </row>
    <row r="362" spans="1:12" x14ac:dyDescent="0.25">
      <c r="A362" s="2" t="s">
        <v>988</v>
      </c>
      <c r="B362" s="4" t="s">
        <v>498</v>
      </c>
      <c r="C362" s="2" t="str">
        <f t="shared" si="10"/>
        <v>Oct</v>
      </c>
      <c r="D362" s="2">
        <f t="shared" si="11"/>
        <v>2025</v>
      </c>
      <c r="E362" s="2" t="s">
        <v>989</v>
      </c>
      <c r="F362" s="2" t="s">
        <v>12</v>
      </c>
      <c r="G362" s="2" t="s">
        <v>13</v>
      </c>
      <c r="H362" s="2" t="s">
        <v>77</v>
      </c>
      <c r="I362" s="2">
        <v>9042.5</v>
      </c>
      <c r="J362" s="2">
        <v>4</v>
      </c>
      <c r="K362" s="2">
        <v>-440.3</v>
      </c>
      <c r="L362" s="2"/>
    </row>
    <row r="363" spans="1:12" x14ac:dyDescent="0.25">
      <c r="A363" s="2" t="s">
        <v>990</v>
      </c>
      <c r="B363" s="4" t="s">
        <v>991</v>
      </c>
      <c r="C363" s="2" t="str">
        <f t="shared" si="10"/>
        <v>Apr</v>
      </c>
      <c r="D363" s="2">
        <f t="shared" si="11"/>
        <v>2025</v>
      </c>
      <c r="E363" s="2" t="s">
        <v>992</v>
      </c>
      <c r="F363" s="2" t="s">
        <v>18</v>
      </c>
      <c r="G363" s="2" t="s">
        <v>19</v>
      </c>
      <c r="H363" s="2" t="s">
        <v>20</v>
      </c>
      <c r="I363" s="2">
        <v>44633.52</v>
      </c>
      <c r="J363" s="2">
        <v>3</v>
      </c>
      <c r="K363" s="2">
        <v>1633.67</v>
      </c>
      <c r="L363" s="2"/>
    </row>
    <row r="364" spans="1:12" x14ac:dyDescent="0.25">
      <c r="A364" s="2" t="s">
        <v>993</v>
      </c>
      <c r="B364" s="4" t="s">
        <v>220</v>
      </c>
      <c r="C364" s="2" t="str">
        <f t="shared" si="10"/>
        <v>Mar</v>
      </c>
      <c r="D364" s="2">
        <f t="shared" si="11"/>
        <v>2025</v>
      </c>
      <c r="E364" s="2" t="s">
        <v>994</v>
      </c>
      <c r="F364" s="2" t="s">
        <v>24</v>
      </c>
      <c r="G364" s="2" t="s">
        <v>54</v>
      </c>
      <c r="H364" s="2" t="s">
        <v>84</v>
      </c>
      <c r="I364" s="2">
        <v>40793.519999999997</v>
      </c>
      <c r="J364" s="2">
        <v>2</v>
      </c>
      <c r="K364" s="2">
        <v>7045.27</v>
      </c>
      <c r="L364" s="2"/>
    </row>
    <row r="365" spans="1:12" x14ac:dyDescent="0.25">
      <c r="A365" s="2" t="s">
        <v>995</v>
      </c>
      <c r="B365" s="4" t="s">
        <v>526</v>
      </c>
      <c r="C365" s="2" t="str">
        <f t="shared" si="10"/>
        <v>Jun</v>
      </c>
      <c r="D365" s="2">
        <f t="shared" si="11"/>
        <v>2025</v>
      </c>
      <c r="E365" s="2" t="s">
        <v>996</v>
      </c>
      <c r="F365" s="2" t="s">
        <v>24</v>
      </c>
      <c r="G365" s="2" t="s">
        <v>13</v>
      </c>
      <c r="H365" s="2" t="s">
        <v>73</v>
      </c>
      <c r="I365" s="2">
        <v>39344.370000000003</v>
      </c>
      <c r="J365" s="2">
        <v>10</v>
      </c>
      <c r="K365" s="2">
        <v>344.78</v>
      </c>
      <c r="L365" s="2"/>
    </row>
    <row r="366" spans="1:12" x14ac:dyDescent="0.25">
      <c r="A366" s="2" t="s">
        <v>997</v>
      </c>
      <c r="B366" s="4" t="s">
        <v>840</v>
      </c>
      <c r="C366" s="2" t="str">
        <f t="shared" si="10"/>
        <v>Mar</v>
      </c>
      <c r="D366" s="2">
        <f t="shared" si="11"/>
        <v>2025</v>
      </c>
      <c r="E366" s="2" t="s">
        <v>998</v>
      </c>
      <c r="F366" s="2" t="s">
        <v>42</v>
      </c>
      <c r="G366" s="2" t="s">
        <v>13</v>
      </c>
      <c r="H366" s="2" t="s">
        <v>14</v>
      </c>
      <c r="I366" s="2">
        <v>11172.67</v>
      </c>
      <c r="J366" s="2">
        <v>3</v>
      </c>
      <c r="K366" s="2">
        <v>2037.51</v>
      </c>
      <c r="L366" s="2"/>
    </row>
    <row r="367" spans="1:12" x14ac:dyDescent="0.25">
      <c r="A367" s="2" t="s">
        <v>999</v>
      </c>
      <c r="B367" s="4" t="s">
        <v>1000</v>
      </c>
      <c r="C367" s="2" t="str">
        <f t="shared" si="10"/>
        <v>May</v>
      </c>
      <c r="D367" s="2">
        <f t="shared" si="11"/>
        <v>2025</v>
      </c>
      <c r="E367" s="2" t="s">
        <v>1001</v>
      </c>
      <c r="F367" s="2" t="s">
        <v>12</v>
      </c>
      <c r="G367" s="2" t="s">
        <v>13</v>
      </c>
      <c r="H367" s="2" t="s">
        <v>121</v>
      </c>
      <c r="I367" s="2">
        <v>15058.37</v>
      </c>
      <c r="J367" s="2">
        <v>5</v>
      </c>
      <c r="K367" s="2">
        <v>4516.57</v>
      </c>
      <c r="L367" s="2"/>
    </row>
    <row r="368" spans="1:12" x14ac:dyDescent="0.25">
      <c r="A368" s="2" t="s">
        <v>1002</v>
      </c>
      <c r="B368" s="4" t="s">
        <v>434</v>
      </c>
      <c r="C368" s="2" t="str">
        <f t="shared" si="10"/>
        <v>Dec</v>
      </c>
      <c r="D368" s="2">
        <f t="shared" si="11"/>
        <v>2025</v>
      </c>
      <c r="E368" s="2" t="s">
        <v>1003</v>
      </c>
      <c r="F368" s="2" t="s">
        <v>12</v>
      </c>
      <c r="G368" s="2" t="s">
        <v>13</v>
      </c>
      <c r="H368" s="2" t="s">
        <v>73</v>
      </c>
      <c r="I368" s="2">
        <v>13202.42</v>
      </c>
      <c r="J368" s="2">
        <v>2</v>
      </c>
      <c r="K368" s="2">
        <v>-283.39</v>
      </c>
      <c r="L368" s="2"/>
    </row>
    <row r="369" spans="1:12" x14ac:dyDescent="0.25">
      <c r="A369" s="2" t="s">
        <v>1004</v>
      </c>
      <c r="B369" s="4" t="s">
        <v>1005</v>
      </c>
      <c r="C369" s="2" t="str">
        <f t="shared" si="10"/>
        <v>Dec</v>
      </c>
      <c r="D369" s="2">
        <f t="shared" si="11"/>
        <v>2025</v>
      </c>
      <c r="E369" s="2" t="s">
        <v>1006</v>
      </c>
      <c r="F369" s="2" t="s">
        <v>38</v>
      </c>
      <c r="G369" s="2" t="s">
        <v>54</v>
      </c>
      <c r="H369" s="2" t="s">
        <v>55</v>
      </c>
      <c r="I369" s="2">
        <v>3663.19</v>
      </c>
      <c r="J369" s="2">
        <v>6</v>
      </c>
      <c r="K369" s="2">
        <v>-168.91</v>
      </c>
      <c r="L369" s="2"/>
    </row>
    <row r="370" spans="1:12" x14ac:dyDescent="0.25">
      <c r="A370" s="2" t="s">
        <v>1007</v>
      </c>
      <c r="B370" s="4" t="s">
        <v>1008</v>
      </c>
      <c r="C370" s="2" t="str">
        <f t="shared" si="10"/>
        <v>Jan</v>
      </c>
      <c r="D370" s="2">
        <f t="shared" si="11"/>
        <v>2025</v>
      </c>
      <c r="E370" s="2" t="s">
        <v>1009</v>
      </c>
      <c r="F370" s="2" t="s">
        <v>24</v>
      </c>
      <c r="G370" s="2" t="s">
        <v>19</v>
      </c>
      <c r="H370" s="2" t="s">
        <v>101</v>
      </c>
      <c r="I370" s="2">
        <v>22239</v>
      </c>
      <c r="J370" s="2">
        <v>3</v>
      </c>
      <c r="K370" s="2">
        <v>2578.33</v>
      </c>
      <c r="L370" s="2"/>
    </row>
    <row r="371" spans="1:12" x14ac:dyDescent="0.25">
      <c r="A371" s="2" t="s">
        <v>1010</v>
      </c>
      <c r="B371" s="4" t="s">
        <v>1011</v>
      </c>
      <c r="C371" s="2" t="str">
        <f t="shared" si="10"/>
        <v>Aug</v>
      </c>
      <c r="D371" s="2">
        <f t="shared" si="11"/>
        <v>2025</v>
      </c>
      <c r="E371" s="2" t="s">
        <v>1012</v>
      </c>
      <c r="F371" s="2" t="s">
        <v>12</v>
      </c>
      <c r="G371" s="2" t="s">
        <v>25</v>
      </c>
      <c r="H371" s="2" t="s">
        <v>365</v>
      </c>
      <c r="I371" s="2">
        <v>24274.43</v>
      </c>
      <c r="J371" s="2">
        <v>3</v>
      </c>
      <c r="K371" s="2">
        <v>3332.54</v>
      </c>
      <c r="L371" s="2"/>
    </row>
    <row r="372" spans="1:12" x14ac:dyDescent="0.25">
      <c r="A372" s="2" t="s">
        <v>1013</v>
      </c>
      <c r="B372" s="4" t="s">
        <v>40</v>
      </c>
      <c r="C372" s="2" t="str">
        <f t="shared" si="10"/>
        <v>Jun</v>
      </c>
      <c r="D372" s="2">
        <f t="shared" si="11"/>
        <v>2025</v>
      </c>
      <c r="E372" s="2" t="s">
        <v>1014</v>
      </c>
      <c r="F372" s="2" t="s">
        <v>34</v>
      </c>
      <c r="G372" s="2" t="s">
        <v>25</v>
      </c>
      <c r="H372" s="2" t="s">
        <v>154</v>
      </c>
      <c r="I372" s="2">
        <v>20946.95</v>
      </c>
      <c r="J372" s="2">
        <v>9</v>
      </c>
      <c r="K372" s="2">
        <v>4184.3</v>
      </c>
      <c r="L372" s="2"/>
    </row>
    <row r="373" spans="1:12" x14ac:dyDescent="0.25">
      <c r="A373" s="2" t="s">
        <v>1015</v>
      </c>
      <c r="B373" s="4" t="s">
        <v>414</v>
      </c>
      <c r="C373" s="2" t="str">
        <f t="shared" si="10"/>
        <v>Jul</v>
      </c>
      <c r="D373" s="2">
        <f t="shared" si="11"/>
        <v>2025</v>
      </c>
      <c r="E373" s="2" t="s">
        <v>1016</v>
      </c>
      <c r="F373" s="2" t="s">
        <v>18</v>
      </c>
      <c r="G373" s="2" t="s">
        <v>54</v>
      </c>
      <c r="H373" s="2" t="s">
        <v>111</v>
      </c>
      <c r="I373" s="2">
        <v>13731.62</v>
      </c>
      <c r="J373" s="2">
        <v>8</v>
      </c>
      <c r="K373" s="2">
        <v>1547.82</v>
      </c>
      <c r="L373" s="2"/>
    </row>
    <row r="374" spans="1:12" x14ac:dyDescent="0.25">
      <c r="A374" s="2" t="s">
        <v>1017</v>
      </c>
      <c r="B374" s="4" t="s">
        <v>1018</v>
      </c>
      <c r="C374" s="2" t="str">
        <f t="shared" si="10"/>
        <v>May</v>
      </c>
      <c r="D374" s="2">
        <f t="shared" si="11"/>
        <v>2025</v>
      </c>
      <c r="E374" s="2" t="s">
        <v>1019</v>
      </c>
      <c r="F374" s="2" t="s">
        <v>34</v>
      </c>
      <c r="G374" s="2" t="s">
        <v>19</v>
      </c>
      <c r="H374" s="2" t="s">
        <v>20</v>
      </c>
      <c r="I374" s="2">
        <v>13358.18</v>
      </c>
      <c r="J374" s="2">
        <v>6</v>
      </c>
      <c r="K374" s="2">
        <v>761.85</v>
      </c>
      <c r="L374" s="2"/>
    </row>
    <row r="375" spans="1:12" x14ac:dyDescent="0.25">
      <c r="A375" s="2" t="s">
        <v>1020</v>
      </c>
      <c r="B375" s="4" t="s">
        <v>702</v>
      </c>
      <c r="C375" s="2" t="str">
        <f t="shared" si="10"/>
        <v>Sep</v>
      </c>
      <c r="D375" s="2">
        <f t="shared" si="11"/>
        <v>2025</v>
      </c>
      <c r="E375" s="2" t="s">
        <v>1021</v>
      </c>
      <c r="F375" s="2" t="s">
        <v>42</v>
      </c>
      <c r="G375" s="2" t="s">
        <v>13</v>
      </c>
      <c r="H375" s="2" t="s">
        <v>14</v>
      </c>
      <c r="I375" s="2">
        <v>12525.46</v>
      </c>
      <c r="J375" s="2">
        <v>4</v>
      </c>
      <c r="K375" s="2">
        <v>171.43</v>
      </c>
      <c r="L375" s="2"/>
    </row>
    <row r="376" spans="1:12" x14ac:dyDescent="0.25">
      <c r="A376" s="2" t="s">
        <v>1022</v>
      </c>
      <c r="B376" s="4" t="s">
        <v>71</v>
      </c>
      <c r="C376" s="2" t="str">
        <f t="shared" si="10"/>
        <v>Jan</v>
      </c>
      <c r="D376" s="2">
        <f t="shared" si="11"/>
        <v>2025</v>
      </c>
      <c r="E376" s="2" t="s">
        <v>1023</v>
      </c>
      <c r="F376" s="2" t="s">
        <v>34</v>
      </c>
      <c r="G376" s="2" t="s">
        <v>19</v>
      </c>
      <c r="H376" s="2" t="s">
        <v>101</v>
      </c>
      <c r="I376" s="2">
        <v>22818.89</v>
      </c>
      <c r="J376" s="2">
        <v>10</v>
      </c>
      <c r="K376" s="2">
        <v>-1041.01</v>
      </c>
      <c r="L376" s="2"/>
    </row>
    <row r="377" spans="1:12" x14ac:dyDescent="0.25">
      <c r="A377" s="2" t="s">
        <v>1024</v>
      </c>
      <c r="B377" s="4" t="s">
        <v>164</v>
      </c>
      <c r="C377" s="2" t="str">
        <f t="shared" si="10"/>
        <v>Jun</v>
      </c>
      <c r="D377" s="2">
        <f t="shared" si="11"/>
        <v>2025</v>
      </c>
      <c r="E377" s="2" t="s">
        <v>1025</v>
      </c>
      <c r="F377" s="2" t="s">
        <v>18</v>
      </c>
      <c r="G377" s="2" t="s">
        <v>25</v>
      </c>
      <c r="H377" s="2" t="s">
        <v>365</v>
      </c>
      <c r="I377" s="2">
        <v>23822.11</v>
      </c>
      <c r="J377" s="2">
        <v>10</v>
      </c>
      <c r="K377" s="2">
        <v>2267.5</v>
      </c>
      <c r="L377" s="2"/>
    </row>
    <row r="378" spans="1:12" x14ac:dyDescent="0.25">
      <c r="A378" s="2" t="s">
        <v>1026</v>
      </c>
      <c r="B378" s="4" t="s">
        <v>1027</v>
      </c>
      <c r="C378" s="2" t="str">
        <f t="shared" si="10"/>
        <v>Jan</v>
      </c>
      <c r="D378" s="2">
        <f t="shared" si="11"/>
        <v>2025</v>
      </c>
      <c r="E378" s="2" t="s">
        <v>1028</v>
      </c>
      <c r="F378" s="2" t="s">
        <v>24</v>
      </c>
      <c r="G378" s="2" t="s">
        <v>54</v>
      </c>
      <c r="H378" s="2" t="s">
        <v>55</v>
      </c>
      <c r="I378" s="2">
        <v>2994.01</v>
      </c>
      <c r="J378" s="2">
        <v>4</v>
      </c>
      <c r="K378" s="2">
        <v>487.17</v>
      </c>
      <c r="L378" s="2"/>
    </row>
    <row r="379" spans="1:12" x14ac:dyDescent="0.25">
      <c r="A379" s="2" t="s">
        <v>1029</v>
      </c>
      <c r="B379" s="4" t="s">
        <v>1030</v>
      </c>
      <c r="C379" s="2" t="str">
        <f t="shared" si="10"/>
        <v>Feb</v>
      </c>
      <c r="D379" s="2">
        <f t="shared" si="11"/>
        <v>2025</v>
      </c>
      <c r="E379" s="2" t="s">
        <v>1031</v>
      </c>
      <c r="F379" s="2" t="s">
        <v>24</v>
      </c>
      <c r="G379" s="2" t="s">
        <v>54</v>
      </c>
      <c r="H379" s="2" t="s">
        <v>84</v>
      </c>
      <c r="I379" s="2">
        <v>48694.25</v>
      </c>
      <c r="J379" s="2">
        <v>1</v>
      </c>
      <c r="K379" s="2">
        <v>1175</v>
      </c>
      <c r="L379" s="2"/>
    </row>
    <row r="380" spans="1:12" x14ac:dyDescent="0.25">
      <c r="A380" s="2" t="s">
        <v>1032</v>
      </c>
      <c r="B380" s="4" t="s">
        <v>49</v>
      </c>
      <c r="C380" s="2" t="str">
        <f t="shared" si="10"/>
        <v>Jul</v>
      </c>
      <c r="D380" s="2">
        <f t="shared" si="11"/>
        <v>2025</v>
      </c>
      <c r="E380" s="2" t="s">
        <v>1033</v>
      </c>
      <c r="F380" s="2" t="s">
        <v>24</v>
      </c>
      <c r="G380" s="2" t="s">
        <v>13</v>
      </c>
      <c r="H380" s="2" t="s">
        <v>14</v>
      </c>
      <c r="I380" s="2">
        <v>2943.92</v>
      </c>
      <c r="J380" s="2">
        <v>4</v>
      </c>
      <c r="K380" s="2">
        <v>408.2</v>
      </c>
      <c r="L380" s="2"/>
    </row>
    <row r="381" spans="1:12" x14ac:dyDescent="0.25">
      <c r="A381" s="2" t="s">
        <v>1034</v>
      </c>
      <c r="B381" s="4" t="s">
        <v>146</v>
      </c>
      <c r="C381" s="2" t="str">
        <f t="shared" si="10"/>
        <v>Aug</v>
      </c>
      <c r="D381" s="2">
        <f t="shared" si="11"/>
        <v>2025</v>
      </c>
      <c r="E381" s="2" t="s">
        <v>1035</v>
      </c>
      <c r="F381" s="2" t="s">
        <v>34</v>
      </c>
      <c r="G381" s="2" t="s">
        <v>25</v>
      </c>
      <c r="H381" s="2" t="s">
        <v>365</v>
      </c>
      <c r="I381" s="2">
        <v>18421.05</v>
      </c>
      <c r="J381" s="2">
        <v>10</v>
      </c>
      <c r="K381" s="2">
        <v>2629.73</v>
      </c>
      <c r="L381" s="2"/>
    </row>
    <row r="382" spans="1:12" x14ac:dyDescent="0.25">
      <c r="A382" s="2" t="s">
        <v>1036</v>
      </c>
      <c r="B382" s="4" t="s">
        <v>1037</v>
      </c>
      <c r="C382" s="2" t="str">
        <f t="shared" si="10"/>
        <v>Jun</v>
      </c>
      <c r="D382" s="2">
        <f t="shared" si="11"/>
        <v>2025</v>
      </c>
      <c r="E382" s="2" t="s">
        <v>1038</v>
      </c>
      <c r="F382" s="2" t="s">
        <v>34</v>
      </c>
      <c r="G382" s="2" t="s">
        <v>25</v>
      </c>
      <c r="H382" s="2" t="s">
        <v>154</v>
      </c>
      <c r="I382" s="2">
        <v>24622.29</v>
      </c>
      <c r="J382" s="2">
        <v>3</v>
      </c>
      <c r="K382" s="2">
        <v>3635.07</v>
      </c>
      <c r="L382" s="2"/>
    </row>
    <row r="383" spans="1:12" x14ac:dyDescent="0.25">
      <c r="A383" s="2" t="s">
        <v>1039</v>
      </c>
      <c r="B383" s="4" t="s">
        <v>1040</v>
      </c>
      <c r="C383" s="2" t="str">
        <f t="shared" si="10"/>
        <v>Oct</v>
      </c>
      <c r="D383" s="2">
        <f t="shared" si="11"/>
        <v>2025</v>
      </c>
      <c r="E383" s="2" t="s">
        <v>1041</v>
      </c>
      <c r="F383" s="2" t="s">
        <v>12</v>
      </c>
      <c r="G383" s="2" t="s">
        <v>54</v>
      </c>
      <c r="H383" s="2" t="s">
        <v>84</v>
      </c>
      <c r="I383" s="2">
        <v>37567.54</v>
      </c>
      <c r="J383" s="2">
        <v>7</v>
      </c>
      <c r="K383" s="2">
        <v>3460.44</v>
      </c>
      <c r="L383" s="2"/>
    </row>
    <row r="384" spans="1:12" x14ac:dyDescent="0.25">
      <c r="A384" s="2" t="s">
        <v>1042</v>
      </c>
      <c r="B384" s="4" t="s">
        <v>437</v>
      </c>
      <c r="C384" s="2" t="str">
        <f t="shared" si="10"/>
        <v>May</v>
      </c>
      <c r="D384" s="2">
        <f t="shared" si="11"/>
        <v>2025</v>
      </c>
      <c r="E384" s="2" t="s">
        <v>1043</v>
      </c>
      <c r="F384" s="2" t="s">
        <v>18</v>
      </c>
      <c r="G384" s="2" t="s">
        <v>13</v>
      </c>
      <c r="H384" s="2" t="s">
        <v>77</v>
      </c>
      <c r="I384" s="2">
        <v>18549.669999999998</v>
      </c>
      <c r="J384" s="2">
        <v>2</v>
      </c>
      <c r="K384" s="2">
        <v>-439.49</v>
      </c>
      <c r="L384" s="2"/>
    </row>
    <row r="385" spans="1:12" x14ac:dyDescent="0.25">
      <c r="A385" s="2" t="s">
        <v>1044</v>
      </c>
      <c r="B385" s="4" t="s">
        <v>256</v>
      </c>
      <c r="C385" s="2" t="str">
        <f t="shared" si="10"/>
        <v>Jan</v>
      </c>
      <c r="D385" s="2">
        <f t="shared" si="11"/>
        <v>2025</v>
      </c>
      <c r="E385" s="2" t="s">
        <v>1045</v>
      </c>
      <c r="F385" s="2" t="s">
        <v>42</v>
      </c>
      <c r="G385" s="2" t="s">
        <v>19</v>
      </c>
      <c r="H385" s="2" t="s">
        <v>20</v>
      </c>
      <c r="I385" s="2">
        <v>22580.48</v>
      </c>
      <c r="J385" s="2">
        <v>1</v>
      </c>
      <c r="K385" s="2">
        <v>1017.23</v>
      </c>
      <c r="L385" s="2"/>
    </row>
    <row r="386" spans="1:12" x14ac:dyDescent="0.25">
      <c r="A386" s="2" t="s">
        <v>1046</v>
      </c>
      <c r="B386" s="4" t="s">
        <v>723</v>
      </c>
      <c r="C386" s="2" t="str">
        <f t="shared" si="10"/>
        <v>Feb</v>
      </c>
      <c r="D386" s="2">
        <f t="shared" si="11"/>
        <v>2025</v>
      </c>
      <c r="E386" s="2" t="s">
        <v>1047</v>
      </c>
      <c r="F386" s="2" t="s">
        <v>18</v>
      </c>
      <c r="G386" s="2" t="s">
        <v>13</v>
      </c>
      <c r="H386" s="2" t="s">
        <v>14</v>
      </c>
      <c r="I386" s="2">
        <v>36905.86</v>
      </c>
      <c r="J386" s="2">
        <v>5</v>
      </c>
      <c r="K386" s="2">
        <v>-1621.9</v>
      </c>
      <c r="L386" s="2"/>
    </row>
    <row r="387" spans="1:12" x14ac:dyDescent="0.25">
      <c r="A387" s="2" t="s">
        <v>1048</v>
      </c>
      <c r="B387" s="4" t="s">
        <v>613</v>
      </c>
      <c r="C387" s="2" t="str">
        <f t="shared" ref="C387:C450" si="12">TEXT(B387, "mmm")</f>
        <v>May</v>
      </c>
      <c r="D387" s="2">
        <f t="shared" ref="D387:D450" si="13">YEAR(B387)</f>
        <v>2025</v>
      </c>
      <c r="E387" s="2" t="s">
        <v>1049</v>
      </c>
      <c r="F387" s="2" t="s">
        <v>42</v>
      </c>
      <c r="G387" s="2" t="s">
        <v>13</v>
      </c>
      <c r="H387" s="2" t="s">
        <v>30</v>
      </c>
      <c r="I387" s="2">
        <v>38471.79</v>
      </c>
      <c r="J387" s="2">
        <v>2</v>
      </c>
      <c r="K387" s="2">
        <v>-88.8</v>
      </c>
      <c r="L387" s="2"/>
    </row>
    <row r="388" spans="1:12" x14ac:dyDescent="0.25">
      <c r="A388" s="2" t="s">
        <v>1050</v>
      </c>
      <c r="B388" s="4" t="s">
        <v>1051</v>
      </c>
      <c r="C388" s="2" t="str">
        <f t="shared" si="12"/>
        <v>Jun</v>
      </c>
      <c r="D388" s="2">
        <f t="shared" si="13"/>
        <v>2025</v>
      </c>
      <c r="E388" s="2" t="s">
        <v>1052</v>
      </c>
      <c r="F388" s="2" t="s">
        <v>34</v>
      </c>
      <c r="G388" s="2" t="s">
        <v>25</v>
      </c>
      <c r="H388" s="2" t="s">
        <v>154</v>
      </c>
      <c r="I388" s="2">
        <v>33353.56</v>
      </c>
      <c r="J388" s="2">
        <v>9</v>
      </c>
      <c r="K388" s="2">
        <v>4122.8900000000003</v>
      </c>
      <c r="L388" s="2"/>
    </row>
    <row r="389" spans="1:12" x14ac:dyDescent="0.25">
      <c r="A389" s="2" t="s">
        <v>1053</v>
      </c>
      <c r="B389" s="4" t="s">
        <v>177</v>
      </c>
      <c r="C389" s="2" t="str">
        <f t="shared" si="12"/>
        <v>Jun</v>
      </c>
      <c r="D389" s="2">
        <f t="shared" si="13"/>
        <v>2025</v>
      </c>
      <c r="E389" s="2" t="s">
        <v>1054</v>
      </c>
      <c r="F389" s="2" t="s">
        <v>18</v>
      </c>
      <c r="G389" s="2" t="s">
        <v>13</v>
      </c>
      <c r="H389" s="2" t="s">
        <v>30</v>
      </c>
      <c r="I389" s="2">
        <v>11486.31</v>
      </c>
      <c r="J389" s="2">
        <v>3</v>
      </c>
      <c r="K389" s="2">
        <v>1419.27</v>
      </c>
      <c r="L389" s="2"/>
    </row>
    <row r="390" spans="1:12" x14ac:dyDescent="0.25">
      <c r="A390" s="2" t="s">
        <v>1055</v>
      </c>
      <c r="B390" s="4" t="s">
        <v>626</v>
      </c>
      <c r="C390" s="2" t="str">
        <f t="shared" si="12"/>
        <v>Jul</v>
      </c>
      <c r="D390" s="2">
        <f t="shared" si="13"/>
        <v>2025</v>
      </c>
      <c r="E390" s="2" t="s">
        <v>1056</v>
      </c>
      <c r="F390" s="2" t="s">
        <v>42</v>
      </c>
      <c r="G390" s="2" t="s">
        <v>25</v>
      </c>
      <c r="H390" s="2" t="s">
        <v>169</v>
      </c>
      <c r="I390" s="2">
        <v>45485.49</v>
      </c>
      <c r="J390" s="2">
        <v>1</v>
      </c>
      <c r="K390" s="2">
        <v>6723.61</v>
      </c>
      <c r="L390" s="2"/>
    </row>
    <row r="391" spans="1:12" x14ac:dyDescent="0.25">
      <c r="A391" s="2" t="s">
        <v>1057</v>
      </c>
      <c r="B391" s="4" t="s">
        <v>1058</v>
      </c>
      <c r="C391" s="2" t="str">
        <f t="shared" si="12"/>
        <v>May</v>
      </c>
      <c r="D391" s="2">
        <f t="shared" si="13"/>
        <v>2025</v>
      </c>
      <c r="E391" s="2" t="s">
        <v>1059</v>
      </c>
      <c r="F391" s="2" t="s">
        <v>42</v>
      </c>
      <c r="G391" s="2" t="s">
        <v>13</v>
      </c>
      <c r="H391" s="2" t="s">
        <v>77</v>
      </c>
      <c r="I391" s="2">
        <v>36935.800000000003</v>
      </c>
      <c r="J391" s="2">
        <v>1</v>
      </c>
      <c r="K391" s="2">
        <v>10542.65</v>
      </c>
      <c r="L391" s="2"/>
    </row>
    <row r="392" spans="1:12" x14ac:dyDescent="0.25">
      <c r="A392" s="2" t="s">
        <v>1060</v>
      </c>
      <c r="B392" s="4" t="s">
        <v>386</v>
      </c>
      <c r="C392" s="2" t="str">
        <f t="shared" si="12"/>
        <v>Sep</v>
      </c>
      <c r="D392" s="2">
        <f t="shared" si="13"/>
        <v>2025</v>
      </c>
      <c r="E392" s="2" t="s">
        <v>1061</v>
      </c>
      <c r="F392" s="2" t="s">
        <v>18</v>
      </c>
      <c r="G392" s="2" t="s">
        <v>19</v>
      </c>
      <c r="H392" s="2" t="s">
        <v>63</v>
      </c>
      <c r="I392" s="2">
        <v>28285.41</v>
      </c>
      <c r="J392" s="2">
        <v>5</v>
      </c>
      <c r="K392" s="2">
        <v>-737.22</v>
      </c>
      <c r="L392" s="2"/>
    </row>
    <row r="393" spans="1:12" x14ac:dyDescent="0.25">
      <c r="A393" s="2" t="s">
        <v>1062</v>
      </c>
      <c r="B393" s="4" t="s">
        <v>152</v>
      </c>
      <c r="C393" s="2" t="str">
        <f t="shared" si="12"/>
        <v>Apr</v>
      </c>
      <c r="D393" s="2">
        <f t="shared" si="13"/>
        <v>2025</v>
      </c>
      <c r="E393" s="2" t="s">
        <v>1063</v>
      </c>
      <c r="F393" s="2" t="s">
        <v>34</v>
      </c>
      <c r="G393" s="2" t="s">
        <v>25</v>
      </c>
      <c r="H393" s="2" t="s">
        <v>365</v>
      </c>
      <c r="I393" s="2">
        <v>1732.66</v>
      </c>
      <c r="J393" s="2">
        <v>5</v>
      </c>
      <c r="K393" s="2">
        <v>477.01</v>
      </c>
      <c r="L393" s="2"/>
    </row>
    <row r="394" spans="1:12" x14ac:dyDescent="0.25">
      <c r="A394" s="2" t="s">
        <v>1064</v>
      </c>
      <c r="B394" s="4" t="s">
        <v>907</v>
      </c>
      <c r="C394" s="2" t="str">
        <f t="shared" si="12"/>
        <v>Jul</v>
      </c>
      <c r="D394" s="2">
        <f t="shared" si="13"/>
        <v>2025</v>
      </c>
      <c r="E394" s="2" t="s">
        <v>1065</v>
      </c>
      <c r="F394" s="2" t="s">
        <v>34</v>
      </c>
      <c r="G394" s="2" t="s">
        <v>54</v>
      </c>
      <c r="H394" s="2" t="s">
        <v>138</v>
      </c>
      <c r="I394" s="2">
        <v>30119.63</v>
      </c>
      <c r="J394" s="2">
        <v>8</v>
      </c>
      <c r="K394" s="2">
        <v>-425.06</v>
      </c>
      <c r="L394" s="2"/>
    </row>
    <row r="395" spans="1:12" x14ac:dyDescent="0.25">
      <c r="A395" s="2" t="s">
        <v>1066</v>
      </c>
      <c r="B395" s="4" t="s">
        <v>765</v>
      </c>
      <c r="C395" s="2" t="str">
        <f t="shared" si="12"/>
        <v>Jul</v>
      </c>
      <c r="D395" s="2">
        <f t="shared" si="13"/>
        <v>2025</v>
      </c>
      <c r="E395" s="2" t="s">
        <v>1067</v>
      </c>
      <c r="F395" s="2" t="s">
        <v>18</v>
      </c>
      <c r="G395" s="2" t="s">
        <v>13</v>
      </c>
      <c r="H395" s="2" t="s">
        <v>73</v>
      </c>
      <c r="I395" s="2">
        <v>7330.82</v>
      </c>
      <c r="J395" s="2">
        <v>6</v>
      </c>
      <c r="K395" s="2">
        <v>1764.58</v>
      </c>
      <c r="L395" s="2"/>
    </row>
    <row r="396" spans="1:12" x14ac:dyDescent="0.25">
      <c r="A396" s="2" t="s">
        <v>1068</v>
      </c>
      <c r="B396" s="4" t="s">
        <v>1040</v>
      </c>
      <c r="C396" s="2" t="str">
        <f t="shared" si="12"/>
        <v>Oct</v>
      </c>
      <c r="D396" s="2">
        <f t="shared" si="13"/>
        <v>2025</v>
      </c>
      <c r="E396" s="2" t="s">
        <v>1069</v>
      </c>
      <c r="F396" s="2" t="s">
        <v>18</v>
      </c>
      <c r="G396" s="2" t="s">
        <v>54</v>
      </c>
      <c r="H396" s="2" t="s">
        <v>84</v>
      </c>
      <c r="I396" s="2">
        <v>33618.239999999998</v>
      </c>
      <c r="J396" s="2">
        <v>10</v>
      </c>
      <c r="K396" s="2">
        <v>-809.74</v>
      </c>
      <c r="L396" s="2"/>
    </row>
    <row r="397" spans="1:12" x14ac:dyDescent="0.25">
      <c r="A397" s="2" t="s">
        <v>1070</v>
      </c>
      <c r="B397" s="4" t="s">
        <v>653</v>
      </c>
      <c r="C397" s="2" t="str">
        <f t="shared" si="12"/>
        <v>Jul</v>
      </c>
      <c r="D397" s="2">
        <f t="shared" si="13"/>
        <v>2025</v>
      </c>
      <c r="E397" s="2" t="s">
        <v>1071</v>
      </c>
      <c r="F397" s="2" t="s">
        <v>12</v>
      </c>
      <c r="G397" s="2" t="s">
        <v>54</v>
      </c>
      <c r="H397" s="2" t="s">
        <v>55</v>
      </c>
      <c r="I397" s="2">
        <v>40171.32</v>
      </c>
      <c r="J397" s="2">
        <v>2</v>
      </c>
      <c r="K397" s="2">
        <v>-1382.43</v>
      </c>
      <c r="L397" s="2"/>
    </row>
    <row r="398" spans="1:12" x14ac:dyDescent="0.25">
      <c r="A398" s="2" t="s">
        <v>1072</v>
      </c>
      <c r="B398" s="4" t="s">
        <v>948</v>
      </c>
      <c r="C398" s="2" t="str">
        <f t="shared" si="12"/>
        <v>Sep</v>
      </c>
      <c r="D398" s="2">
        <f t="shared" si="13"/>
        <v>2025</v>
      </c>
      <c r="E398" s="2" t="s">
        <v>831</v>
      </c>
      <c r="F398" s="2" t="s">
        <v>18</v>
      </c>
      <c r="G398" s="2" t="s">
        <v>13</v>
      </c>
      <c r="H398" s="2" t="s">
        <v>77</v>
      </c>
      <c r="I398" s="2">
        <v>6025.74</v>
      </c>
      <c r="J398" s="2">
        <v>9</v>
      </c>
      <c r="K398" s="2">
        <v>-299.54000000000002</v>
      </c>
      <c r="L398" s="2"/>
    </row>
    <row r="399" spans="1:12" x14ac:dyDescent="0.25">
      <c r="A399" s="2" t="s">
        <v>1073</v>
      </c>
      <c r="B399" s="4" t="s">
        <v>1074</v>
      </c>
      <c r="C399" s="2" t="str">
        <f t="shared" si="12"/>
        <v>Dec</v>
      </c>
      <c r="D399" s="2">
        <f t="shared" si="13"/>
        <v>2025</v>
      </c>
      <c r="E399" s="2" t="s">
        <v>1075</v>
      </c>
      <c r="F399" s="2" t="s">
        <v>97</v>
      </c>
      <c r="G399" s="2" t="s">
        <v>25</v>
      </c>
      <c r="H399" s="2" t="s">
        <v>365</v>
      </c>
      <c r="I399" s="2">
        <v>35580.44</v>
      </c>
      <c r="J399" s="2">
        <v>6</v>
      </c>
      <c r="K399" s="2">
        <v>4932.92</v>
      </c>
      <c r="L399" s="2"/>
    </row>
    <row r="400" spans="1:12" x14ac:dyDescent="0.25">
      <c r="A400" s="2" t="s">
        <v>1076</v>
      </c>
      <c r="B400" s="4" t="s">
        <v>1077</v>
      </c>
      <c r="C400" s="2" t="str">
        <f t="shared" si="12"/>
        <v>Feb</v>
      </c>
      <c r="D400" s="2">
        <f t="shared" si="13"/>
        <v>2025</v>
      </c>
      <c r="E400" s="2" t="s">
        <v>1078</v>
      </c>
      <c r="F400" s="2" t="s">
        <v>38</v>
      </c>
      <c r="G400" s="2" t="s">
        <v>54</v>
      </c>
      <c r="H400" s="2" t="s">
        <v>55</v>
      </c>
      <c r="I400" s="2">
        <v>45971.9</v>
      </c>
      <c r="J400" s="2">
        <v>1</v>
      </c>
      <c r="K400" s="2">
        <v>5263.02</v>
      </c>
      <c r="L400" s="2"/>
    </row>
    <row r="401" spans="1:12" x14ac:dyDescent="0.25">
      <c r="A401" s="2" t="s">
        <v>1079</v>
      </c>
      <c r="B401" s="4" t="s">
        <v>1080</v>
      </c>
      <c r="C401" s="2" t="str">
        <f t="shared" si="12"/>
        <v>Mar</v>
      </c>
      <c r="D401" s="2">
        <f t="shared" si="13"/>
        <v>2025</v>
      </c>
      <c r="E401" s="2" t="s">
        <v>1081</v>
      </c>
      <c r="F401" s="2" t="s">
        <v>38</v>
      </c>
      <c r="G401" s="2" t="s">
        <v>13</v>
      </c>
      <c r="H401" s="2" t="s">
        <v>73</v>
      </c>
      <c r="I401" s="2">
        <v>16563.12</v>
      </c>
      <c r="J401" s="2">
        <v>4</v>
      </c>
      <c r="K401" s="2">
        <v>1705.55</v>
      </c>
      <c r="L401" s="2"/>
    </row>
    <row r="402" spans="1:12" x14ac:dyDescent="0.25">
      <c r="A402" s="2" t="s">
        <v>1082</v>
      </c>
      <c r="B402" s="4" t="s">
        <v>45</v>
      </c>
      <c r="C402" s="2" t="str">
        <f t="shared" si="12"/>
        <v>Aug</v>
      </c>
      <c r="D402" s="2">
        <f t="shared" si="13"/>
        <v>2025</v>
      </c>
      <c r="E402" s="2" t="s">
        <v>1083</v>
      </c>
      <c r="F402" s="2" t="s">
        <v>34</v>
      </c>
      <c r="G402" s="2" t="s">
        <v>13</v>
      </c>
      <c r="H402" s="2" t="s">
        <v>73</v>
      </c>
      <c r="I402" s="2">
        <v>36641.919999999998</v>
      </c>
      <c r="J402" s="2">
        <v>8</v>
      </c>
      <c r="K402" s="2">
        <v>6674.41</v>
      </c>
      <c r="L402" s="2"/>
    </row>
    <row r="403" spans="1:12" x14ac:dyDescent="0.25">
      <c r="A403" s="2" t="s">
        <v>1084</v>
      </c>
      <c r="B403" s="4" t="s">
        <v>874</v>
      </c>
      <c r="C403" s="2" t="str">
        <f t="shared" si="12"/>
        <v>Dec</v>
      </c>
      <c r="D403" s="2">
        <f t="shared" si="13"/>
        <v>2025</v>
      </c>
      <c r="E403" s="2" t="s">
        <v>1085</v>
      </c>
      <c r="F403" s="2" t="s">
        <v>97</v>
      </c>
      <c r="G403" s="2" t="s">
        <v>13</v>
      </c>
      <c r="H403" s="2" t="s">
        <v>121</v>
      </c>
      <c r="I403" s="2">
        <v>45263.61</v>
      </c>
      <c r="J403" s="2">
        <v>7</v>
      </c>
      <c r="K403" s="2">
        <v>-98.29</v>
      </c>
      <c r="L403" s="2"/>
    </row>
    <row r="404" spans="1:12" x14ac:dyDescent="0.25">
      <c r="A404" s="2" t="s">
        <v>1086</v>
      </c>
      <c r="B404" s="4" t="s">
        <v>1087</v>
      </c>
      <c r="C404" s="2" t="str">
        <f t="shared" si="12"/>
        <v>Oct</v>
      </c>
      <c r="D404" s="2">
        <f t="shared" si="13"/>
        <v>2025</v>
      </c>
      <c r="E404" s="2" t="s">
        <v>1088</v>
      </c>
      <c r="F404" s="2" t="s">
        <v>18</v>
      </c>
      <c r="G404" s="2" t="s">
        <v>19</v>
      </c>
      <c r="H404" s="2" t="s">
        <v>59</v>
      </c>
      <c r="I404" s="2">
        <v>3281.69</v>
      </c>
      <c r="J404" s="2">
        <v>5</v>
      </c>
      <c r="K404" s="2">
        <v>921.59</v>
      </c>
      <c r="L404" s="2"/>
    </row>
    <row r="405" spans="1:12" x14ac:dyDescent="0.25">
      <c r="A405" s="2" t="s">
        <v>1089</v>
      </c>
      <c r="B405" s="4" t="s">
        <v>195</v>
      </c>
      <c r="C405" s="2" t="str">
        <f t="shared" si="12"/>
        <v>Aug</v>
      </c>
      <c r="D405" s="2">
        <f t="shared" si="13"/>
        <v>2025</v>
      </c>
      <c r="E405" s="2" t="s">
        <v>1090</v>
      </c>
      <c r="F405" s="2" t="s">
        <v>12</v>
      </c>
      <c r="G405" s="2" t="s">
        <v>13</v>
      </c>
      <c r="H405" s="2" t="s">
        <v>73</v>
      </c>
      <c r="I405" s="2">
        <v>33687.18</v>
      </c>
      <c r="J405" s="2">
        <v>3</v>
      </c>
      <c r="K405" s="2">
        <v>335.26</v>
      </c>
      <c r="L405" s="2"/>
    </row>
    <row r="406" spans="1:12" x14ac:dyDescent="0.25">
      <c r="A406" s="2" t="s">
        <v>1091</v>
      </c>
      <c r="B406" s="4" t="s">
        <v>768</v>
      </c>
      <c r="C406" s="2" t="str">
        <f t="shared" si="12"/>
        <v>Nov</v>
      </c>
      <c r="D406" s="2">
        <f t="shared" si="13"/>
        <v>2025</v>
      </c>
      <c r="E406" s="2" t="s">
        <v>1092</v>
      </c>
      <c r="F406" s="2" t="s">
        <v>42</v>
      </c>
      <c r="G406" s="2" t="s">
        <v>13</v>
      </c>
      <c r="H406" s="2" t="s">
        <v>77</v>
      </c>
      <c r="I406" s="2">
        <v>17728.169999999998</v>
      </c>
      <c r="J406" s="2">
        <v>4</v>
      </c>
      <c r="K406" s="2">
        <v>2666.5</v>
      </c>
      <c r="L406" s="2"/>
    </row>
    <row r="407" spans="1:12" x14ac:dyDescent="0.25">
      <c r="A407" s="2" t="s">
        <v>1093</v>
      </c>
      <c r="B407" s="4" t="s">
        <v>572</v>
      </c>
      <c r="C407" s="2" t="str">
        <f t="shared" si="12"/>
        <v>Mar</v>
      </c>
      <c r="D407" s="2">
        <f t="shared" si="13"/>
        <v>2025</v>
      </c>
      <c r="E407" s="2" t="s">
        <v>1094</v>
      </c>
      <c r="F407" s="2" t="s">
        <v>12</v>
      </c>
      <c r="G407" s="2" t="s">
        <v>19</v>
      </c>
      <c r="H407" s="2" t="s">
        <v>101</v>
      </c>
      <c r="I407" s="2">
        <v>20729.96</v>
      </c>
      <c r="J407" s="2">
        <v>6</v>
      </c>
      <c r="K407" s="2">
        <v>2421.59</v>
      </c>
      <c r="L407" s="2"/>
    </row>
    <row r="408" spans="1:12" x14ac:dyDescent="0.25">
      <c r="A408" s="2" t="s">
        <v>1095</v>
      </c>
      <c r="B408" s="4" t="s">
        <v>819</v>
      </c>
      <c r="C408" s="2" t="str">
        <f t="shared" si="12"/>
        <v>Dec</v>
      </c>
      <c r="D408" s="2">
        <f t="shared" si="13"/>
        <v>2025</v>
      </c>
      <c r="E408" s="2" t="s">
        <v>1096</v>
      </c>
      <c r="F408" s="2" t="s">
        <v>24</v>
      </c>
      <c r="G408" s="2" t="s">
        <v>19</v>
      </c>
      <c r="H408" s="2" t="s">
        <v>20</v>
      </c>
      <c r="I408" s="2">
        <v>26829.67</v>
      </c>
      <c r="J408" s="2">
        <v>8</v>
      </c>
      <c r="K408" s="2">
        <v>3689.25</v>
      </c>
      <c r="L408" s="2"/>
    </row>
    <row r="409" spans="1:12" x14ac:dyDescent="0.25">
      <c r="A409" s="2" t="s">
        <v>1097</v>
      </c>
      <c r="B409" s="4" t="s">
        <v>1098</v>
      </c>
      <c r="C409" s="2" t="str">
        <f t="shared" si="12"/>
        <v>May</v>
      </c>
      <c r="D409" s="2">
        <f t="shared" si="13"/>
        <v>2025</v>
      </c>
      <c r="E409" s="2" t="s">
        <v>1099</v>
      </c>
      <c r="F409" s="2" t="s">
        <v>12</v>
      </c>
      <c r="G409" s="2" t="s">
        <v>19</v>
      </c>
      <c r="H409" s="2" t="s">
        <v>20</v>
      </c>
      <c r="I409" s="2">
        <v>5822.58</v>
      </c>
      <c r="J409" s="2">
        <v>2</v>
      </c>
      <c r="K409" s="2">
        <v>664.85</v>
      </c>
      <c r="L409" s="2"/>
    </row>
    <row r="410" spans="1:12" x14ac:dyDescent="0.25">
      <c r="A410" s="2" t="s">
        <v>1100</v>
      </c>
      <c r="B410" s="4" t="s">
        <v>1101</v>
      </c>
      <c r="C410" s="2" t="str">
        <f t="shared" si="12"/>
        <v>Sep</v>
      </c>
      <c r="D410" s="2">
        <f t="shared" si="13"/>
        <v>2025</v>
      </c>
      <c r="E410" s="2" t="s">
        <v>1102</v>
      </c>
      <c r="F410" s="2" t="s">
        <v>38</v>
      </c>
      <c r="G410" s="2" t="s">
        <v>54</v>
      </c>
      <c r="H410" s="2" t="s">
        <v>190</v>
      </c>
      <c r="I410" s="2">
        <v>26950.73</v>
      </c>
      <c r="J410" s="2">
        <v>6</v>
      </c>
      <c r="K410" s="2">
        <v>1167.31</v>
      </c>
      <c r="L410" s="2"/>
    </row>
    <row r="411" spans="1:12" x14ac:dyDescent="0.25">
      <c r="A411" s="2" t="s">
        <v>1103</v>
      </c>
      <c r="B411" s="4" t="s">
        <v>948</v>
      </c>
      <c r="C411" s="2" t="str">
        <f t="shared" si="12"/>
        <v>Sep</v>
      </c>
      <c r="D411" s="2">
        <f t="shared" si="13"/>
        <v>2025</v>
      </c>
      <c r="E411" s="2" t="s">
        <v>1104</v>
      </c>
      <c r="F411" s="2" t="s">
        <v>42</v>
      </c>
      <c r="G411" s="2" t="s">
        <v>13</v>
      </c>
      <c r="H411" s="2" t="s">
        <v>121</v>
      </c>
      <c r="I411" s="2">
        <v>41940.86</v>
      </c>
      <c r="J411" s="2">
        <v>10</v>
      </c>
      <c r="K411" s="2">
        <v>3777.21</v>
      </c>
      <c r="L411" s="2"/>
    </row>
    <row r="412" spans="1:12" x14ac:dyDescent="0.25">
      <c r="A412" s="2" t="s">
        <v>1105</v>
      </c>
      <c r="B412" s="4" t="s">
        <v>1074</v>
      </c>
      <c r="C412" s="2" t="str">
        <f t="shared" si="12"/>
        <v>Dec</v>
      </c>
      <c r="D412" s="2">
        <f t="shared" si="13"/>
        <v>2025</v>
      </c>
      <c r="E412" s="2" t="s">
        <v>1106</v>
      </c>
      <c r="F412" s="2" t="s">
        <v>97</v>
      </c>
      <c r="G412" s="2" t="s">
        <v>13</v>
      </c>
      <c r="H412" s="2" t="s">
        <v>77</v>
      </c>
      <c r="I412" s="2">
        <v>11250.53</v>
      </c>
      <c r="J412" s="2">
        <v>6</v>
      </c>
      <c r="K412" s="2">
        <v>1894.49</v>
      </c>
      <c r="L412" s="2"/>
    </row>
    <row r="413" spans="1:12" x14ac:dyDescent="0.25">
      <c r="A413" s="2" t="s">
        <v>1107</v>
      </c>
      <c r="B413" s="4" t="s">
        <v>970</v>
      </c>
      <c r="C413" s="2" t="str">
        <f t="shared" si="12"/>
        <v>Mar</v>
      </c>
      <c r="D413" s="2">
        <f t="shared" si="13"/>
        <v>2025</v>
      </c>
      <c r="E413" s="2" t="s">
        <v>1108</v>
      </c>
      <c r="F413" s="2" t="s">
        <v>18</v>
      </c>
      <c r="G413" s="2" t="s">
        <v>54</v>
      </c>
      <c r="H413" s="2" t="s">
        <v>138</v>
      </c>
      <c r="I413" s="2">
        <v>7736.33</v>
      </c>
      <c r="J413" s="2">
        <v>7</v>
      </c>
      <c r="K413" s="2">
        <v>-292.26</v>
      </c>
      <c r="L413" s="2"/>
    </row>
    <row r="414" spans="1:12" x14ac:dyDescent="0.25">
      <c r="A414" s="2" t="s">
        <v>1109</v>
      </c>
      <c r="B414" s="4" t="s">
        <v>1058</v>
      </c>
      <c r="C414" s="2" t="str">
        <f t="shared" si="12"/>
        <v>May</v>
      </c>
      <c r="D414" s="2">
        <f t="shared" si="13"/>
        <v>2025</v>
      </c>
      <c r="E414" s="2" t="s">
        <v>1110</v>
      </c>
      <c r="F414" s="2" t="s">
        <v>34</v>
      </c>
      <c r="G414" s="2" t="s">
        <v>19</v>
      </c>
      <c r="H414" s="2" t="s">
        <v>59</v>
      </c>
      <c r="I414" s="2">
        <v>44365.96</v>
      </c>
      <c r="J414" s="2">
        <v>1</v>
      </c>
      <c r="K414" s="2">
        <v>8707.08</v>
      </c>
      <c r="L414" s="2"/>
    </row>
    <row r="415" spans="1:12" x14ac:dyDescent="0.25">
      <c r="A415" s="2" t="s">
        <v>1111</v>
      </c>
      <c r="B415" s="4" t="s">
        <v>1112</v>
      </c>
      <c r="C415" s="2" t="str">
        <f t="shared" si="12"/>
        <v>Jan</v>
      </c>
      <c r="D415" s="2">
        <f t="shared" si="13"/>
        <v>2025</v>
      </c>
      <c r="E415" s="2" t="s">
        <v>1113</v>
      </c>
      <c r="F415" s="2" t="s">
        <v>42</v>
      </c>
      <c r="G415" s="2" t="s">
        <v>25</v>
      </c>
      <c r="H415" s="2" t="s">
        <v>365</v>
      </c>
      <c r="I415" s="2">
        <v>46644.1</v>
      </c>
      <c r="J415" s="2">
        <v>5</v>
      </c>
      <c r="K415" s="2">
        <v>8115.69</v>
      </c>
      <c r="L415" s="2"/>
    </row>
    <row r="416" spans="1:12" x14ac:dyDescent="0.25">
      <c r="A416" s="2" t="s">
        <v>1114</v>
      </c>
      <c r="B416" s="4" t="s">
        <v>486</v>
      </c>
      <c r="C416" s="2" t="str">
        <f t="shared" si="12"/>
        <v>Feb</v>
      </c>
      <c r="D416" s="2">
        <f t="shared" si="13"/>
        <v>2025</v>
      </c>
      <c r="E416" s="2" t="s">
        <v>1115</v>
      </c>
      <c r="F416" s="2" t="s">
        <v>42</v>
      </c>
      <c r="G416" s="2" t="s">
        <v>19</v>
      </c>
      <c r="H416" s="2" t="s">
        <v>63</v>
      </c>
      <c r="I416" s="2">
        <v>37245.199999999997</v>
      </c>
      <c r="J416" s="2">
        <v>2</v>
      </c>
      <c r="K416" s="2">
        <v>9744.9</v>
      </c>
      <c r="L416" s="2"/>
    </row>
    <row r="417" spans="1:12" x14ac:dyDescent="0.25">
      <c r="A417" s="2" t="s">
        <v>1116</v>
      </c>
      <c r="B417" s="4" t="s">
        <v>95</v>
      </c>
      <c r="C417" s="2" t="str">
        <f t="shared" si="12"/>
        <v>Nov</v>
      </c>
      <c r="D417" s="2">
        <f t="shared" si="13"/>
        <v>2025</v>
      </c>
      <c r="E417" s="2" t="s">
        <v>1117</v>
      </c>
      <c r="F417" s="2" t="s">
        <v>38</v>
      </c>
      <c r="G417" s="2" t="s">
        <v>25</v>
      </c>
      <c r="H417" s="2" t="s">
        <v>169</v>
      </c>
      <c r="I417" s="2">
        <v>48300.34</v>
      </c>
      <c r="J417" s="2">
        <v>6</v>
      </c>
      <c r="K417" s="2">
        <v>2524.65</v>
      </c>
      <c r="L417" s="2"/>
    </row>
    <row r="418" spans="1:12" x14ac:dyDescent="0.25">
      <c r="A418" s="2" t="s">
        <v>1118</v>
      </c>
      <c r="B418" s="4" t="s">
        <v>498</v>
      </c>
      <c r="C418" s="2" t="str">
        <f t="shared" si="12"/>
        <v>Oct</v>
      </c>
      <c r="D418" s="2">
        <f t="shared" si="13"/>
        <v>2025</v>
      </c>
      <c r="E418" s="2" t="s">
        <v>1119</v>
      </c>
      <c r="F418" s="2" t="s">
        <v>97</v>
      </c>
      <c r="G418" s="2" t="s">
        <v>13</v>
      </c>
      <c r="H418" s="2" t="s">
        <v>121</v>
      </c>
      <c r="I418" s="2">
        <v>45981.55</v>
      </c>
      <c r="J418" s="2">
        <v>6</v>
      </c>
      <c r="K418" s="2">
        <v>2965.16</v>
      </c>
      <c r="L418" s="2"/>
    </row>
    <row r="419" spans="1:12" x14ac:dyDescent="0.25">
      <c r="A419" s="2" t="s">
        <v>1120</v>
      </c>
      <c r="B419" s="4" t="s">
        <v>405</v>
      </c>
      <c r="C419" s="2" t="str">
        <f t="shared" si="12"/>
        <v>Mar</v>
      </c>
      <c r="D419" s="2">
        <f t="shared" si="13"/>
        <v>2025</v>
      </c>
      <c r="E419" s="2" t="s">
        <v>1121</v>
      </c>
      <c r="F419" s="2" t="s">
        <v>42</v>
      </c>
      <c r="G419" s="2" t="s">
        <v>54</v>
      </c>
      <c r="H419" s="2" t="s">
        <v>190</v>
      </c>
      <c r="I419" s="2">
        <v>9161.77</v>
      </c>
      <c r="J419" s="2">
        <v>3</v>
      </c>
      <c r="K419" s="2">
        <v>760.2</v>
      </c>
      <c r="L419" s="2"/>
    </row>
    <row r="420" spans="1:12" x14ac:dyDescent="0.25">
      <c r="A420" s="2" t="s">
        <v>1122</v>
      </c>
      <c r="B420" s="4" t="s">
        <v>1123</v>
      </c>
      <c r="C420" s="2" t="str">
        <f t="shared" si="12"/>
        <v>Jul</v>
      </c>
      <c r="D420" s="2">
        <f t="shared" si="13"/>
        <v>2025</v>
      </c>
      <c r="E420" s="2" t="s">
        <v>1124</v>
      </c>
      <c r="F420" s="2" t="s">
        <v>24</v>
      </c>
      <c r="G420" s="2" t="s">
        <v>54</v>
      </c>
      <c r="H420" s="2" t="s">
        <v>84</v>
      </c>
      <c r="I420" s="2">
        <v>32772.26</v>
      </c>
      <c r="J420" s="2">
        <v>10</v>
      </c>
      <c r="K420" s="2">
        <v>3085.77</v>
      </c>
      <c r="L420" s="2"/>
    </row>
    <row r="421" spans="1:12" x14ac:dyDescent="0.25">
      <c r="A421" s="2" t="s">
        <v>1125</v>
      </c>
      <c r="B421" s="4" t="s">
        <v>119</v>
      </c>
      <c r="C421" s="2" t="str">
        <f t="shared" si="12"/>
        <v>Aug</v>
      </c>
      <c r="D421" s="2">
        <f t="shared" si="13"/>
        <v>2025</v>
      </c>
      <c r="E421" s="2" t="s">
        <v>1126</v>
      </c>
      <c r="F421" s="2" t="s">
        <v>34</v>
      </c>
      <c r="G421" s="2" t="s">
        <v>54</v>
      </c>
      <c r="H421" s="2" t="s">
        <v>84</v>
      </c>
      <c r="I421" s="2">
        <v>12739.77</v>
      </c>
      <c r="J421" s="2">
        <v>4</v>
      </c>
      <c r="K421" s="2">
        <v>394.13</v>
      </c>
      <c r="L421" s="2"/>
    </row>
    <row r="422" spans="1:12" x14ac:dyDescent="0.25">
      <c r="A422" s="2" t="s">
        <v>1127</v>
      </c>
      <c r="B422" s="4" t="s">
        <v>901</v>
      </c>
      <c r="C422" s="2" t="str">
        <f t="shared" si="12"/>
        <v>Jun</v>
      </c>
      <c r="D422" s="2">
        <f t="shared" si="13"/>
        <v>2025</v>
      </c>
      <c r="E422" s="2" t="s">
        <v>1128</v>
      </c>
      <c r="F422" s="2" t="s">
        <v>12</v>
      </c>
      <c r="G422" s="2" t="s">
        <v>54</v>
      </c>
      <c r="H422" s="2" t="s">
        <v>111</v>
      </c>
      <c r="I422" s="2">
        <v>35075.019999999997</v>
      </c>
      <c r="J422" s="2">
        <v>10</v>
      </c>
      <c r="K422" s="2">
        <v>3334.86</v>
      </c>
      <c r="L422" s="2"/>
    </row>
    <row r="423" spans="1:12" x14ac:dyDescent="0.25">
      <c r="A423" s="2" t="s">
        <v>1129</v>
      </c>
      <c r="B423" s="4" t="s">
        <v>156</v>
      </c>
      <c r="C423" s="2" t="str">
        <f t="shared" si="12"/>
        <v>Jun</v>
      </c>
      <c r="D423" s="2">
        <f t="shared" si="13"/>
        <v>2025</v>
      </c>
      <c r="E423" s="2" t="s">
        <v>1130</v>
      </c>
      <c r="F423" s="2" t="s">
        <v>42</v>
      </c>
      <c r="G423" s="2" t="s">
        <v>25</v>
      </c>
      <c r="H423" s="2" t="s">
        <v>26</v>
      </c>
      <c r="I423" s="2">
        <v>25607.91</v>
      </c>
      <c r="J423" s="2">
        <v>3</v>
      </c>
      <c r="K423" s="2">
        <v>7158.59</v>
      </c>
      <c r="L423" s="2"/>
    </row>
    <row r="424" spans="1:12" x14ac:dyDescent="0.25">
      <c r="A424" s="2" t="s">
        <v>1131</v>
      </c>
      <c r="B424" s="4" t="s">
        <v>538</v>
      </c>
      <c r="C424" s="2" t="str">
        <f t="shared" si="12"/>
        <v>Mar</v>
      </c>
      <c r="D424" s="2">
        <f t="shared" si="13"/>
        <v>2025</v>
      </c>
      <c r="E424" s="2" t="s">
        <v>1132</v>
      </c>
      <c r="F424" s="2" t="s">
        <v>38</v>
      </c>
      <c r="G424" s="2" t="s">
        <v>25</v>
      </c>
      <c r="H424" s="2" t="s">
        <v>154</v>
      </c>
      <c r="I424" s="2">
        <v>11082.55</v>
      </c>
      <c r="J424" s="2">
        <v>2</v>
      </c>
      <c r="K424" s="2">
        <v>180.55</v>
      </c>
      <c r="L424" s="2"/>
    </row>
    <row r="425" spans="1:12" x14ac:dyDescent="0.25">
      <c r="A425" s="2" t="s">
        <v>1133</v>
      </c>
      <c r="B425" s="4" t="s">
        <v>814</v>
      </c>
      <c r="C425" s="2" t="str">
        <f t="shared" si="12"/>
        <v>Apr</v>
      </c>
      <c r="D425" s="2">
        <f t="shared" si="13"/>
        <v>2025</v>
      </c>
      <c r="E425" s="2" t="s">
        <v>1134</v>
      </c>
      <c r="F425" s="2" t="s">
        <v>38</v>
      </c>
      <c r="G425" s="2" t="s">
        <v>13</v>
      </c>
      <c r="H425" s="2" t="s">
        <v>121</v>
      </c>
      <c r="I425" s="2">
        <v>36606.04</v>
      </c>
      <c r="J425" s="2">
        <v>1</v>
      </c>
      <c r="K425" s="2">
        <v>8241.36</v>
      </c>
      <c r="L425" s="2"/>
    </row>
    <row r="426" spans="1:12" x14ac:dyDescent="0.25">
      <c r="A426" s="2" t="s">
        <v>1135</v>
      </c>
      <c r="B426" s="4" t="s">
        <v>1136</v>
      </c>
      <c r="C426" s="2" t="str">
        <f t="shared" si="12"/>
        <v>Apr</v>
      </c>
      <c r="D426" s="2">
        <f t="shared" si="13"/>
        <v>2025</v>
      </c>
      <c r="E426" s="2" t="s">
        <v>1137</v>
      </c>
      <c r="F426" s="2" t="s">
        <v>97</v>
      </c>
      <c r="G426" s="2" t="s">
        <v>19</v>
      </c>
      <c r="H426" s="2" t="s">
        <v>43</v>
      </c>
      <c r="I426" s="2">
        <v>7450.2</v>
      </c>
      <c r="J426" s="2">
        <v>10</v>
      </c>
      <c r="K426" s="2">
        <v>1926.63</v>
      </c>
      <c r="L426" s="2"/>
    </row>
    <row r="427" spans="1:12" x14ac:dyDescent="0.25">
      <c r="A427" s="2" t="s">
        <v>1138</v>
      </c>
      <c r="B427" s="4" t="s">
        <v>250</v>
      </c>
      <c r="C427" s="2" t="str">
        <f t="shared" si="12"/>
        <v>Nov</v>
      </c>
      <c r="D427" s="2">
        <f t="shared" si="13"/>
        <v>2025</v>
      </c>
      <c r="E427" s="2" t="s">
        <v>1139</v>
      </c>
      <c r="F427" s="2" t="s">
        <v>18</v>
      </c>
      <c r="G427" s="2" t="s">
        <v>25</v>
      </c>
      <c r="H427" s="2" t="s">
        <v>365</v>
      </c>
      <c r="I427" s="2">
        <v>43330.06</v>
      </c>
      <c r="J427" s="2">
        <v>1</v>
      </c>
      <c r="K427" s="2">
        <v>11746.77</v>
      </c>
      <c r="L427" s="2"/>
    </row>
    <row r="428" spans="1:12" x14ac:dyDescent="0.25">
      <c r="A428" s="2" t="s">
        <v>1140</v>
      </c>
      <c r="B428" s="4" t="s">
        <v>1141</v>
      </c>
      <c r="C428" s="2" t="str">
        <f t="shared" si="12"/>
        <v>Jul</v>
      </c>
      <c r="D428" s="2">
        <f t="shared" si="13"/>
        <v>2025</v>
      </c>
      <c r="E428" s="2" t="s">
        <v>1142</v>
      </c>
      <c r="F428" s="2" t="s">
        <v>18</v>
      </c>
      <c r="G428" s="2" t="s">
        <v>25</v>
      </c>
      <c r="H428" s="2" t="s">
        <v>169</v>
      </c>
      <c r="I428" s="2">
        <v>33870.89</v>
      </c>
      <c r="J428" s="2">
        <v>1</v>
      </c>
      <c r="K428" s="2">
        <v>2839.08</v>
      </c>
      <c r="L428" s="2"/>
    </row>
    <row r="429" spans="1:12" x14ac:dyDescent="0.25">
      <c r="A429" s="2" t="s">
        <v>1143</v>
      </c>
      <c r="B429" s="4" t="s">
        <v>677</v>
      </c>
      <c r="C429" s="2" t="str">
        <f t="shared" si="12"/>
        <v>Oct</v>
      </c>
      <c r="D429" s="2">
        <f t="shared" si="13"/>
        <v>2025</v>
      </c>
      <c r="E429" s="2" t="s">
        <v>1144</v>
      </c>
      <c r="F429" s="2" t="s">
        <v>42</v>
      </c>
      <c r="G429" s="2" t="s">
        <v>13</v>
      </c>
      <c r="H429" s="2" t="s">
        <v>77</v>
      </c>
      <c r="I429" s="2">
        <v>8451.06</v>
      </c>
      <c r="J429" s="2">
        <v>5</v>
      </c>
      <c r="K429" s="2">
        <v>580.66999999999996</v>
      </c>
      <c r="L429" s="2"/>
    </row>
    <row r="430" spans="1:12" x14ac:dyDescent="0.25">
      <c r="A430" s="2" t="s">
        <v>1145</v>
      </c>
      <c r="B430" s="4" t="s">
        <v>1146</v>
      </c>
      <c r="C430" s="2" t="str">
        <f t="shared" si="12"/>
        <v>May</v>
      </c>
      <c r="D430" s="2">
        <f t="shared" si="13"/>
        <v>2025</v>
      </c>
      <c r="E430" s="2" t="s">
        <v>1147</v>
      </c>
      <c r="F430" s="2" t="s">
        <v>42</v>
      </c>
      <c r="G430" s="2" t="s">
        <v>54</v>
      </c>
      <c r="H430" s="2" t="s">
        <v>84</v>
      </c>
      <c r="I430" s="2">
        <v>18059.43</v>
      </c>
      <c r="J430" s="2">
        <v>7</v>
      </c>
      <c r="K430" s="2">
        <v>283.57</v>
      </c>
      <c r="L430" s="2"/>
    </row>
    <row r="431" spans="1:12" x14ac:dyDescent="0.25">
      <c r="A431" s="2" t="s">
        <v>1148</v>
      </c>
      <c r="B431" s="4" t="s">
        <v>758</v>
      </c>
      <c r="C431" s="2" t="str">
        <f t="shared" si="12"/>
        <v>May</v>
      </c>
      <c r="D431" s="2">
        <f t="shared" si="13"/>
        <v>2025</v>
      </c>
      <c r="E431" s="2" t="s">
        <v>1149</v>
      </c>
      <c r="F431" s="2" t="s">
        <v>97</v>
      </c>
      <c r="G431" s="2" t="s">
        <v>54</v>
      </c>
      <c r="H431" s="2" t="s">
        <v>111</v>
      </c>
      <c r="I431" s="2">
        <v>25677.23</v>
      </c>
      <c r="J431" s="2">
        <v>10</v>
      </c>
      <c r="K431" s="2">
        <v>7693.11</v>
      </c>
      <c r="L431" s="2"/>
    </row>
    <row r="432" spans="1:12" x14ac:dyDescent="0.25">
      <c r="A432" s="2" t="s">
        <v>1150</v>
      </c>
      <c r="B432" s="4" t="s">
        <v>1151</v>
      </c>
      <c r="C432" s="2" t="str">
        <f t="shared" si="12"/>
        <v>May</v>
      </c>
      <c r="D432" s="2">
        <f t="shared" si="13"/>
        <v>2025</v>
      </c>
      <c r="E432" s="2" t="s">
        <v>1152</v>
      </c>
      <c r="F432" s="2" t="s">
        <v>97</v>
      </c>
      <c r="G432" s="2" t="s">
        <v>54</v>
      </c>
      <c r="H432" s="2" t="s">
        <v>190</v>
      </c>
      <c r="I432" s="2">
        <v>17958.240000000002</v>
      </c>
      <c r="J432" s="2">
        <v>5</v>
      </c>
      <c r="K432" s="2">
        <v>2724.67</v>
      </c>
      <c r="L432" s="2"/>
    </row>
    <row r="433" spans="1:12" x14ac:dyDescent="0.25">
      <c r="A433" s="2" t="s">
        <v>1153</v>
      </c>
      <c r="B433" s="4" t="s">
        <v>411</v>
      </c>
      <c r="C433" s="2" t="str">
        <f t="shared" si="12"/>
        <v>Oct</v>
      </c>
      <c r="D433" s="2">
        <f t="shared" si="13"/>
        <v>2025</v>
      </c>
      <c r="E433" s="2" t="s">
        <v>1154</v>
      </c>
      <c r="F433" s="2" t="s">
        <v>12</v>
      </c>
      <c r="G433" s="2" t="s">
        <v>19</v>
      </c>
      <c r="H433" s="2" t="s">
        <v>101</v>
      </c>
      <c r="I433" s="2">
        <v>28340.6</v>
      </c>
      <c r="J433" s="2">
        <v>7</v>
      </c>
      <c r="K433" s="2">
        <v>1609.02</v>
      </c>
      <c r="L433" s="2"/>
    </row>
    <row r="434" spans="1:12" x14ac:dyDescent="0.25">
      <c r="A434" s="2" t="s">
        <v>1155</v>
      </c>
      <c r="B434" s="4" t="s">
        <v>907</v>
      </c>
      <c r="C434" s="2" t="str">
        <f t="shared" si="12"/>
        <v>Jul</v>
      </c>
      <c r="D434" s="2">
        <f t="shared" si="13"/>
        <v>2025</v>
      </c>
      <c r="E434" s="2" t="s">
        <v>1156</v>
      </c>
      <c r="F434" s="2" t="s">
        <v>97</v>
      </c>
      <c r="G434" s="2" t="s">
        <v>25</v>
      </c>
      <c r="H434" s="2" t="s">
        <v>169</v>
      </c>
      <c r="I434" s="2">
        <v>41856.519999999997</v>
      </c>
      <c r="J434" s="2">
        <v>1</v>
      </c>
      <c r="K434" s="2">
        <v>5347.7</v>
      </c>
      <c r="L434" s="2"/>
    </row>
    <row r="435" spans="1:12" x14ac:dyDescent="0.25">
      <c r="A435" s="2" t="s">
        <v>1157</v>
      </c>
      <c r="B435" s="4" t="s">
        <v>171</v>
      </c>
      <c r="C435" s="2" t="str">
        <f t="shared" si="12"/>
        <v>Jun</v>
      </c>
      <c r="D435" s="2">
        <f t="shared" si="13"/>
        <v>2025</v>
      </c>
      <c r="E435" s="2" t="s">
        <v>1158</v>
      </c>
      <c r="F435" s="2" t="s">
        <v>12</v>
      </c>
      <c r="G435" s="2" t="s">
        <v>25</v>
      </c>
      <c r="H435" s="2" t="s">
        <v>26</v>
      </c>
      <c r="I435" s="2">
        <v>31297.22</v>
      </c>
      <c r="J435" s="2">
        <v>6</v>
      </c>
      <c r="K435" s="2">
        <v>7676.68</v>
      </c>
      <c r="L435" s="2"/>
    </row>
    <row r="436" spans="1:12" x14ac:dyDescent="0.25">
      <c r="A436" s="2" t="s">
        <v>1159</v>
      </c>
      <c r="B436" s="4" t="s">
        <v>411</v>
      </c>
      <c r="C436" s="2" t="str">
        <f t="shared" si="12"/>
        <v>Oct</v>
      </c>
      <c r="D436" s="2">
        <f t="shared" si="13"/>
        <v>2025</v>
      </c>
      <c r="E436" s="2" t="s">
        <v>1160</v>
      </c>
      <c r="F436" s="2" t="s">
        <v>24</v>
      </c>
      <c r="G436" s="2" t="s">
        <v>54</v>
      </c>
      <c r="H436" s="2" t="s">
        <v>190</v>
      </c>
      <c r="I436" s="2">
        <v>22657.16</v>
      </c>
      <c r="J436" s="2">
        <v>8</v>
      </c>
      <c r="K436" s="2">
        <v>529.47</v>
      </c>
      <c r="L436" s="2"/>
    </row>
    <row r="437" spans="1:12" x14ac:dyDescent="0.25">
      <c r="A437" s="2" t="s">
        <v>1161</v>
      </c>
      <c r="B437" s="4" t="s">
        <v>434</v>
      </c>
      <c r="C437" s="2" t="str">
        <f t="shared" si="12"/>
        <v>Dec</v>
      </c>
      <c r="D437" s="2">
        <f t="shared" si="13"/>
        <v>2025</v>
      </c>
      <c r="E437" s="2" t="s">
        <v>1162</v>
      </c>
      <c r="F437" s="2" t="s">
        <v>42</v>
      </c>
      <c r="G437" s="2" t="s">
        <v>19</v>
      </c>
      <c r="H437" s="2" t="s">
        <v>101</v>
      </c>
      <c r="I437" s="2">
        <v>23794.41</v>
      </c>
      <c r="J437" s="2">
        <v>8</v>
      </c>
      <c r="K437" s="2">
        <v>2209.98</v>
      </c>
      <c r="L437" s="2"/>
    </row>
    <row r="438" spans="1:12" x14ac:dyDescent="0.25">
      <c r="A438" s="2" t="s">
        <v>1163</v>
      </c>
      <c r="B438" s="4" t="s">
        <v>1164</v>
      </c>
      <c r="C438" s="2" t="str">
        <f t="shared" si="12"/>
        <v>Oct</v>
      </c>
      <c r="D438" s="2">
        <f t="shared" si="13"/>
        <v>2025</v>
      </c>
      <c r="E438" s="2" t="s">
        <v>1165</v>
      </c>
      <c r="F438" s="2" t="s">
        <v>38</v>
      </c>
      <c r="G438" s="2" t="s">
        <v>25</v>
      </c>
      <c r="H438" s="2" t="s">
        <v>26</v>
      </c>
      <c r="I438" s="2">
        <v>49113.56</v>
      </c>
      <c r="J438" s="2">
        <v>10</v>
      </c>
      <c r="K438" s="2">
        <v>3013.92</v>
      </c>
      <c r="L438" s="2"/>
    </row>
    <row r="439" spans="1:12" x14ac:dyDescent="0.25">
      <c r="A439" s="2" t="s">
        <v>1166</v>
      </c>
      <c r="B439" s="4" t="s">
        <v>1167</v>
      </c>
      <c r="C439" s="2" t="str">
        <f t="shared" si="12"/>
        <v>Aug</v>
      </c>
      <c r="D439" s="2">
        <f t="shared" si="13"/>
        <v>2025</v>
      </c>
      <c r="E439" s="2" t="s">
        <v>1168</v>
      </c>
      <c r="F439" s="2" t="s">
        <v>97</v>
      </c>
      <c r="G439" s="2" t="s">
        <v>25</v>
      </c>
      <c r="H439" s="2" t="s">
        <v>365</v>
      </c>
      <c r="I439" s="2">
        <v>17310.53</v>
      </c>
      <c r="J439" s="2">
        <v>1</v>
      </c>
      <c r="K439" s="2">
        <v>-809.91</v>
      </c>
      <c r="L439" s="2"/>
    </row>
    <row r="440" spans="1:12" x14ac:dyDescent="0.25">
      <c r="A440" s="2" t="s">
        <v>1169</v>
      </c>
      <c r="B440" s="4" t="s">
        <v>945</v>
      </c>
      <c r="C440" s="2" t="str">
        <f t="shared" si="12"/>
        <v>Dec</v>
      </c>
      <c r="D440" s="2">
        <f t="shared" si="13"/>
        <v>2025</v>
      </c>
      <c r="E440" s="2" t="s">
        <v>1170</v>
      </c>
      <c r="F440" s="2" t="s">
        <v>97</v>
      </c>
      <c r="G440" s="2" t="s">
        <v>19</v>
      </c>
      <c r="H440" s="2" t="s">
        <v>101</v>
      </c>
      <c r="I440" s="2">
        <v>583.42999999999995</v>
      </c>
      <c r="J440" s="2">
        <v>9</v>
      </c>
      <c r="K440" s="2">
        <v>80.290000000000006</v>
      </c>
      <c r="L440" s="2"/>
    </row>
    <row r="441" spans="1:12" x14ac:dyDescent="0.25">
      <c r="A441" s="2" t="s">
        <v>1171</v>
      </c>
      <c r="B441" s="4" t="s">
        <v>149</v>
      </c>
      <c r="C441" s="2" t="str">
        <f t="shared" si="12"/>
        <v>May</v>
      </c>
      <c r="D441" s="2">
        <f t="shared" si="13"/>
        <v>2025</v>
      </c>
      <c r="E441" s="2" t="s">
        <v>1172</v>
      </c>
      <c r="F441" s="2" t="s">
        <v>18</v>
      </c>
      <c r="G441" s="2" t="s">
        <v>25</v>
      </c>
      <c r="H441" s="2" t="s">
        <v>154</v>
      </c>
      <c r="I441" s="2">
        <v>48407.67</v>
      </c>
      <c r="J441" s="2">
        <v>8</v>
      </c>
      <c r="K441" s="2">
        <v>7107.57</v>
      </c>
      <c r="L441" s="2"/>
    </row>
    <row r="442" spans="1:12" x14ac:dyDescent="0.25">
      <c r="A442" s="2" t="s">
        <v>1173</v>
      </c>
      <c r="B442" s="4" t="s">
        <v>49</v>
      </c>
      <c r="C442" s="2" t="str">
        <f t="shared" si="12"/>
        <v>Jul</v>
      </c>
      <c r="D442" s="2">
        <f t="shared" si="13"/>
        <v>2025</v>
      </c>
      <c r="E442" s="2" t="s">
        <v>1174</v>
      </c>
      <c r="F442" s="2" t="s">
        <v>18</v>
      </c>
      <c r="G442" s="2" t="s">
        <v>19</v>
      </c>
      <c r="H442" s="2" t="s">
        <v>59</v>
      </c>
      <c r="I442" s="2">
        <v>19667.95</v>
      </c>
      <c r="J442" s="2">
        <v>4</v>
      </c>
      <c r="K442" s="2">
        <v>4824.4799999999996</v>
      </c>
      <c r="L442" s="2"/>
    </row>
    <row r="443" spans="1:12" x14ac:dyDescent="0.25">
      <c r="A443" s="2" t="s">
        <v>1175</v>
      </c>
      <c r="B443" s="4" t="s">
        <v>32</v>
      </c>
      <c r="C443" s="2" t="str">
        <f t="shared" si="12"/>
        <v>May</v>
      </c>
      <c r="D443" s="2">
        <f t="shared" si="13"/>
        <v>2025</v>
      </c>
      <c r="E443" s="2" t="s">
        <v>1176</v>
      </c>
      <c r="F443" s="2" t="s">
        <v>42</v>
      </c>
      <c r="G443" s="2" t="s">
        <v>19</v>
      </c>
      <c r="H443" s="2" t="s">
        <v>59</v>
      </c>
      <c r="I443" s="2">
        <v>15774.73</v>
      </c>
      <c r="J443" s="2">
        <v>2</v>
      </c>
      <c r="K443" s="2">
        <v>1091.92</v>
      </c>
      <c r="L443" s="2"/>
    </row>
    <row r="444" spans="1:12" x14ac:dyDescent="0.25">
      <c r="A444" s="2" t="s">
        <v>1177</v>
      </c>
      <c r="B444" s="4" t="s">
        <v>1178</v>
      </c>
      <c r="C444" s="2" t="str">
        <f t="shared" si="12"/>
        <v>Apr</v>
      </c>
      <c r="D444" s="2">
        <f t="shared" si="13"/>
        <v>2025</v>
      </c>
      <c r="E444" s="2" t="s">
        <v>1179</v>
      </c>
      <c r="F444" s="2" t="s">
        <v>42</v>
      </c>
      <c r="G444" s="2" t="s">
        <v>54</v>
      </c>
      <c r="H444" s="2" t="s">
        <v>55</v>
      </c>
      <c r="I444" s="2">
        <v>1175.92</v>
      </c>
      <c r="J444" s="2">
        <v>9</v>
      </c>
      <c r="K444" s="2">
        <v>291.24</v>
      </c>
      <c r="L444" s="2"/>
    </row>
    <row r="445" spans="1:12" x14ac:dyDescent="0.25">
      <c r="A445" s="2" t="s">
        <v>1180</v>
      </c>
      <c r="B445" s="4" t="s">
        <v>1181</v>
      </c>
      <c r="C445" s="2" t="str">
        <f t="shared" si="12"/>
        <v>Mar</v>
      </c>
      <c r="D445" s="2">
        <f t="shared" si="13"/>
        <v>2025</v>
      </c>
      <c r="E445" s="2" t="s">
        <v>1182</v>
      </c>
      <c r="F445" s="2" t="s">
        <v>42</v>
      </c>
      <c r="G445" s="2" t="s">
        <v>54</v>
      </c>
      <c r="H445" s="2" t="s">
        <v>138</v>
      </c>
      <c r="I445" s="2">
        <v>23442.89</v>
      </c>
      <c r="J445" s="2">
        <v>6</v>
      </c>
      <c r="K445" s="2">
        <v>3395.1</v>
      </c>
      <c r="L445" s="2"/>
    </row>
    <row r="446" spans="1:12" x14ac:dyDescent="0.25">
      <c r="A446" s="2" t="s">
        <v>1183</v>
      </c>
      <c r="B446" s="4" t="s">
        <v>1184</v>
      </c>
      <c r="C446" s="2" t="str">
        <f t="shared" si="12"/>
        <v>Jun</v>
      </c>
      <c r="D446" s="2">
        <f t="shared" si="13"/>
        <v>2025</v>
      </c>
      <c r="E446" s="2" t="s">
        <v>1185</v>
      </c>
      <c r="F446" s="2" t="s">
        <v>38</v>
      </c>
      <c r="G446" s="2" t="s">
        <v>13</v>
      </c>
      <c r="H446" s="2" t="s">
        <v>14</v>
      </c>
      <c r="I446" s="2">
        <v>7081.68</v>
      </c>
      <c r="J446" s="2">
        <v>2</v>
      </c>
      <c r="K446" s="2">
        <v>239.22</v>
      </c>
      <c r="L446" s="2"/>
    </row>
    <row r="447" spans="1:12" x14ac:dyDescent="0.25">
      <c r="A447" s="2" t="s">
        <v>1186</v>
      </c>
      <c r="B447" s="4" t="s">
        <v>207</v>
      </c>
      <c r="C447" s="2" t="str">
        <f t="shared" si="12"/>
        <v>Jan</v>
      </c>
      <c r="D447" s="2">
        <f t="shared" si="13"/>
        <v>2025</v>
      </c>
      <c r="E447" s="2" t="s">
        <v>1187</v>
      </c>
      <c r="F447" s="2" t="s">
        <v>34</v>
      </c>
      <c r="G447" s="2" t="s">
        <v>25</v>
      </c>
      <c r="H447" s="2" t="s">
        <v>47</v>
      </c>
      <c r="I447" s="2">
        <v>4834.54</v>
      </c>
      <c r="J447" s="2">
        <v>9</v>
      </c>
      <c r="K447" s="2">
        <v>473.79</v>
      </c>
      <c r="L447" s="2"/>
    </row>
    <row r="448" spans="1:12" x14ac:dyDescent="0.25">
      <c r="A448" s="2" t="s">
        <v>1188</v>
      </c>
      <c r="B448" s="4" t="s">
        <v>1189</v>
      </c>
      <c r="C448" s="2" t="str">
        <f t="shared" si="12"/>
        <v>Jul</v>
      </c>
      <c r="D448" s="2">
        <f t="shared" si="13"/>
        <v>2025</v>
      </c>
      <c r="E448" s="2" t="s">
        <v>1190</v>
      </c>
      <c r="F448" s="2" t="s">
        <v>18</v>
      </c>
      <c r="G448" s="2" t="s">
        <v>13</v>
      </c>
      <c r="H448" s="2" t="s">
        <v>14</v>
      </c>
      <c r="I448" s="2">
        <v>11364.29</v>
      </c>
      <c r="J448" s="2">
        <v>8</v>
      </c>
      <c r="K448" s="2">
        <v>2967.56</v>
      </c>
      <c r="L448" s="2"/>
    </row>
    <row r="449" spans="1:12" x14ac:dyDescent="0.25">
      <c r="A449" s="2" t="s">
        <v>1191</v>
      </c>
      <c r="B449" s="4" t="s">
        <v>1192</v>
      </c>
      <c r="C449" s="2" t="str">
        <f t="shared" si="12"/>
        <v>Sep</v>
      </c>
      <c r="D449" s="2">
        <f t="shared" si="13"/>
        <v>2025</v>
      </c>
      <c r="E449" s="2" t="s">
        <v>1193</v>
      </c>
      <c r="F449" s="2" t="s">
        <v>24</v>
      </c>
      <c r="G449" s="2" t="s">
        <v>25</v>
      </c>
      <c r="H449" s="2" t="s">
        <v>26</v>
      </c>
      <c r="I449" s="2">
        <v>10239.68</v>
      </c>
      <c r="J449" s="2">
        <v>9</v>
      </c>
      <c r="K449" s="2">
        <v>-106.29</v>
      </c>
      <c r="L449" s="2"/>
    </row>
    <row r="450" spans="1:12" x14ac:dyDescent="0.25">
      <c r="A450" s="2" t="s">
        <v>1194</v>
      </c>
      <c r="B450" s="4" t="s">
        <v>819</v>
      </c>
      <c r="C450" s="2" t="str">
        <f t="shared" si="12"/>
        <v>Dec</v>
      </c>
      <c r="D450" s="2">
        <f t="shared" si="13"/>
        <v>2025</v>
      </c>
      <c r="E450" s="2" t="s">
        <v>1195</v>
      </c>
      <c r="F450" s="2" t="s">
        <v>38</v>
      </c>
      <c r="G450" s="2" t="s">
        <v>25</v>
      </c>
      <c r="H450" s="2" t="s">
        <v>169</v>
      </c>
      <c r="I450" s="2">
        <v>30217.759999999998</v>
      </c>
      <c r="J450" s="2">
        <v>3</v>
      </c>
      <c r="K450" s="2">
        <v>3172.98</v>
      </c>
      <c r="L450" s="2"/>
    </row>
    <row r="451" spans="1:12" x14ac:dyDescent="0.25">
      <c r="A451" s="2" t="s">
        <v>1196</v>
      </c>
      <c r="B451" s="4" t="s">
        <v>1197</v>
      </c>
      <c r="C451" s="2" t="str">
        <f t="shared" ref="C451:C514" si="14">TEXT(B451, "mmm")</f>
        <v>Aug</v>
      </c>
      <c r="D451" s="2">
        <f t="shared" ref="D451:D514" si="15">YEAR(B451)</f>
        <v>2025</v>
      </c>
      <c r="E451" s="2" t="s">
        <v>1198</v>
      </c>
      <c r="F451" s="2" t="s">
        <v>97</v>
      </c>
      <c r="G451" s="2" t="s">
        <v>13</v>
      </c>
      <c r="H451" s="2" t="s">
        <v>77</v>
      </c>
      <c r="I451" s="2">
        <v>3384.03</v>
      </c>
      <c r="J451" s="2">
        <v>10</v>
      </c>
      <c r="K451" s="2">
        <v>392.36</v>
      </c>
      <c r="L451" s="2"/>
    </row>
    <row r="452" spans="1:12" x14ac:dyDescent="0.25">
      <c r="A452" s="2" t="s">
        <v>1199</v>
      </c>
      <c r="B452" s="4" t="s">
        <v>1018</v>
      </c>
      <c r="C452" s="2" t="str">
        <f t="shared" si="14"/>
        <v>May</v>
      </c>
      <c r="D452" s="2">
        <f t="shared" si="15"/>
        <v>2025</v>
      </c>
      <c r="E452" s="2" t="s">
        <v>1200</v>
      </c>
      <c r="F452" s="2" t="s">
        <v>24</v>
      </c>
      <c r="G452" s="2" t="s">
        <v>25</v>
      </c>
      <c r="H452" s="2" t="s">
        <v>26</v>
      </c>
      <c r="I452" s="2">
        <v>18222.59</v>
      </c>
      <c r="J452" s="2">
        <v>9</v>
      </c>
      <c r="K452" s="2">
        <v>998.18</v>
      </c>
      <c r="L452" s="2"/>
    </row>
    <row r="453" spans="1:12" x14ac:dyDescent="0.25">
      <c r="A453" s="2" t="s">
        <v>1201</v>
      </c>
      <c r="B453" s="4" t="s">
        <v>340</v>
      </c>
      <c r="C453" s="2" t="str">
        <f t="shared" si="14"/>
        <v>Mar</v>
      </c>
      <c r="D453" s="2">
        <f t="shared" si="15"/>
        <v>2025</v>
      </c>
      <c r="E453" s="2" t="s">
        <v>1202</v>
      </c>
      <c r="F453" s="2" t="s">
        <v>24</v>
      </c>
      <c r="G453" s="2" t="s">
        <v>19</v>
      </c>
      <c r="H453" s="2" t="s">
        <v>101</v>
      </c>
      <c r="I453" s="2">
        <v>44138.57</v>
      </c>
      <c r="J453" s="2">
        <v>4</v>
      </c>
      <c r="K453" s="2">
        <v>10772.63</v>
      </c>
      <c r="L453" s="2"/>
    </row>
    <row r="454" spans="1:12" x14ac:dyDescent="0.25">
      <c r="A454" s="2" t="s">
        <v>1203</v>
      </c>
      <c r="B454" s="4" t="s">
        <v>1204</v>
      </c>
      <c r="C454" s="2" t="str">
        <f t="shared" si="14"/>
        <v>Mar</v>
      </c>
      <c r="D454" s="2">
        <f t="shared" si="15"/>
        <v>2025</v>
      </c>
      <c r="E454" s="2" t="s">
        <v>1205</v>
      </c>
      <c r="F454" s="2" t="s">
        <v>38</v>
      </c>
      <c r="G454" s="2" t="s">
        <v>13</v>
      </c>
      <c r="H454" s="2" t="s">
        <v>77</v>
      </c>
      <c r="I454" s="2">
        <v>39816.720000000001</v>
      </c>
      <c r="J454" s="2">
        <v>5</v>
      </c>
      <c r="K454" s="2">
        <v>239.2</v>
      </c>
      <c r="L454" s="2"/>
    </row>
    <row r="455" spans="1:12" x14ac:dyDescent="0.25">
      <c r="A455" s="2" t="s">
        <v>1206</v>
      </c>
      <c r="B455" s="4" t="s">
        <v>535</v>
      </c>
      <c r="C455" s="2" t="str">
        <f t="shared" si="14"/>
        <v>Apr</v>
      </c>
      <c r="D455" s="2">
        <f t="shared" si="15"/>
        <v>2025</v>
      </c>
      <c r="E455" s="2" t="s">
        <v>1207</v>
      </c>
      <c r="F455" s="2" t="s">
        <v>18</v>
      </c>
      <c r="G455" s="2" t="s">
        <v>19</v>
      </c>
      <c r="H455" s="2" t="s">
        <v>63</v>
      </c>
      <c r="I455" s="2">
        <v>13305.12</v>
      </c>
      <c r="J455" s="2">
        <v>4</v>
      </c>
      <c r="K455" s="2">
        <v>3006.16</v>
      </c>
      <c r="L455" s="2"/>
    </row>
    <row r="456" spans="1:12" x14ac:dyDescent="0.25">
      <c r="A456" s="2" t="s">
        <v>1208</v>
      </c>
      <c r="B456" s="4" t="s">
        <v>529</v>
      </c>
      <c r="C456" s="2" t="str">
        <f t="shared" si="14"/>
        <v>May</v>
      </c>
      <c r="D456" s="2">
        <f t="shared" si="15"/>
        <v>2025</v>
      </c>
      <c r="E456" s="2" t="s">
        <v>1209</v>
      </c>
      <c r="F456" s="2" t="s">
        <v>12</v>
      </c>
      <c r="G456" s="2" t="s">
        <v>13</v>
      </c>
      <c r="H456" s="2" t="s">
        <v>30</v>
      </c>
      <c r="I456" s="2">
        <v>1275.99</v>
      </c>
      <c r="J456" s="2">
        <v>3</v>
      </c>
      <c r="K456" s="2">
        <v>368.17</v>
      </c>
      <c r="L456" s="2"/>
    </row>
    <row r="457" spans="1:12" x14ac:dyDescent="0.25">
      <c r="A457" s="2" t="s">
        <v>1210</v>
      </c>
      <c r="B457" s="4" t="s">
        <v>149</v>
      </c>
      <c r="C457" s="2" t="str">
        <f t="shared" si="14"/>
        <v>May</v>
      </c>
      <c r="D457" s="2">
        <f t="shared" si="15"/>
        <v>2025</v>
      </c>
      <c r="E457" s="2" t="s">
        <v>1211</v>
      </c>
      <c r="F457" s="2" t="s">
        <v>18</v>
      </c>
      <c r="G457" s="2" t="s">
        <v>13</v>
      </c>
      <c r="H457" s="2" t="s">
        <v>121</v>
      </c>
      <c r="I457" s="2">
        <v>4453.22</v>
      </c>
      <c r="J457" s="2">
        <v>7</v>
      </c>
      <c r="K457" s="2">
        <v>411</v>
      </c>
      <c r="L457" s="2"/>
    </row>
    <row r="458" spans="1:12" x14ac:dyDescent="0.25">
      <c r="A458" s="2" t="s">
        <v>1212</v>
      </c>
      <c r="B458" s="4" t="s">
        <v>1213</v>
      </c>
      <c r="C458" s="2" t="str">
        <f t="shared" si="14"/>
        <v>Jun</v>
      </c>
      <c r="D458" s="2">
        <f t="shared" si="15"/>
        <v>2025</v>
      </c>
      <c r="E458" s="2" t="s">
        <v>1214</v>
      </c>
      <c r="F458" s="2" t="s">
        <v>97</v>
      </c>
      <c r="G458" s="2" t="s">
        <v>19</v>
      </c>
      <c r="H458" s="2" t="s">
        <v>20</v>
      </c>
      <c r="I458" s="2">
        <v>10621.28</v>
      </c>
      <c r="J458" s="2">
        <v>10</v>
      </c>
      <c r="K458" s="2">
        <v>2876.81</v>
      </c>
      <c r="L458" s="2"/>
    </row>
    <row r="459" spans="1:12" x14ac:dyDescent="0.25">
      <c r="A459" s="2" t="s">
        <v>1215</v>
      </c>
      <c r="B459" s="4" t="s">
        <v>889</v>
      </c>
      <c r="C459" s="2" t="str">
        <f t="shared" si="14"/>
        <v>Jun</v>
      </c>
      <c r="D459" s="2">
        <f t="shared" si="15"/>
        <v>2025</v>
      </c>
      <c r="E459" s="2" t="s">
        <v>1216</v>
      </c>
      <c r="F459" s="2" t="s">
        <v>42</v>
      </c>
      <c r="G459" s="2" t="s">
        <v>54</v>
      </c>
      <c r="H459" s="2" t="s">
        <v>84</v>
      </c>
      <c r="I459" s="2">
        <v>30977.96</v>
      </c>
      <c r="J459" s="2">
        <v>6</v>
      </c>
      <c r="K459" s="2">
        <v>4275.34</v>
      </c>
      <c r="L459" s="2"/>
    </row>
    <row r="460" spans="1:12" x14ac:dyDescent="0.25">
      <c r="A460" s="2" t="s">
        <v>1217</v>
      </c>
      <c r="B460" s="4" t="s">
        <v>1218</v>
      </c>
      <c r="C460" s="2" t="str">
        <f t="shared" si="14"/>
        <v>Dec</v>
      </c>
      <c r="D460" s="2">
        <f t="shared" si="15"/>
        <v>2025</v>
      </c>
      <c r="E460" s="2" t="s">
        <v>1219</v>
      </c>
      <c r="F460" s="2" t="s">
        <v>24</v>
      </c>
      <c r="G460" s="2" t="s">
        <v>13</v>
      </c>
      <c r="H460" s="2" t="s">
        <v>30</v>
      </c>
      <c r="I460" s="2">
        <v>35238.15</v>
      </c>
      <c r="J460" s="2">
        <v>3</v>
      </c>
      <c r="K460" s="2">
        <v>8495.9500000000007</v>
      </c>
      <c r="L460" s="2"/>
    </row>
    <row r="461" spans="1:12" x14ac:dyDescent="0.25">
      <c r="A461" s="2" t="s">
        <v>1220</v>
      </c>
      <c r="B461" s="4" t="s">
        <v>1221</v>
      </c>
      <c r="C461" s="2" t="str">
        <f t="shared" si="14"/>
        <v>Sep</v>
      </c>
      <c r="D461" s="2">
        <f t="shared" si="15"/>
        <v>2025</v>
      </c>
      <c r="E461" s="2" t="s">
        <v>1222</v>
      </c>
      <c r="F461" s="2" t="s">
        <v>38</v>
      </c>
      <c r="G461" s="2" t="s">
        <v>25</v>
      </c>
      <c r="H461" s="2" t="s">
        <v>154</v>
      </c>
      <c r="I461" s="2">
        <v>34124.9</v>
      </c>
      <c r="J461" s="2">
        <v>10</v>
      </c>
      <c r="K461" s="2">
        <v>284.54000000000002</v>
      </c>
      <c r="L461" s="2"/>
    </row>
    <row r="462" spans="1:12" x14ac:dyDescent="0.25">
      <c r="A462" s="2" t="s">
        <v>1223</v>
      </c>
      <c r="B462" s="4" t="s">
        <v>353</v>
      </c>
      <c r="C462" s="2" t="str">
        <f t="shared" si="14"/>
        <v>Apr</v>
      </c>
      <c r="D462" s="2">
        <f t="shared" si="15"/>
        <v>2025</v>
      </c>
      <c r="E462" s="2" t="s">
        <v>1224</v>
      </c>
      <c r="F462" s="2" t="s">
        <v>38</v>
      </c>
      <c r="G462" s="2" t="s">
        <v>25</v>
      </c>
      <c r="H462" s="2" t="s">
        <v>365</v>
      </c>
      <c r="I462" s="2">
        <v>36031.129999999997</v>
      </c>
      <c r="J462" s="2">
        <v>5</v>
      </c>
      <c r="K462" s="2">
        <v>1012.5</v>
      </c>
      <c r="L462" s="2"/>
    </row>
    <row r="463" spans="1:12" x14ac:dyDescent="0.25">
      <c r="A463" s="2" t="s">
        <v>1225</v>
      </c>
      <c r="B463" s="4" t="s">
        <v>1226</v>
      </c>
      <c r="C463" s="2" t="str">
        <f t="shared" si="14"/>
        <v>Apr</v>
      </c>
      <c r="D463" s="2">
        <f t="shared" si="15"/>
        <v>2025</v>
      </c>
      <c r="E463" s="2" t="s">
        <v>1227</v>
      </c>
      <c r="F463" s="2" t="s">
        <v>42</v>
      </c>
      <c r="G463" s="2" t="s">
        <v>19</v>
      </c>
      <c r="H463" s="2" t="s">
        <v>20</v>
      </c>
      <c r="I463" s="2">
        <v>34127.79</v>
      </c>
      <c r="J463" s="2">
        <v>6</v>
      </c>
      <c r="K463" s="2">
        <v>1975.89</v>
      </c>
      <c r="L463" s="2"/>
    </row>
    <row r="464" spans="1:12" x14ac:dyDescent="0.25">
      <c r="A464" s="2" t="s">
        <v>1228</v>
      </c>
      <c r="B464" s="4" t="s">
        <v>1229</v>
      </c>
      <c r="C464" s="2" t="str">
        <f t="shared" si="14"/>
        <v>Nov</v>
      </c>
      <c r="D464" s="2">
        <f t="shared" si="15"/>
        <v>2025</v>
      </c>
      <c r="E464" s="2" t="s">
        <v>1230</v>
      </c>
      <c r="F464" s="2" t="s">
        <v>97</v>
      </c>
      <c r="G464" s="2" t="s">
        <v>25</v>
      </c>
      <c r="H464" s="2" t="s">
        <v>169</v>
      </c>
      <c r="I464" s="2">
        <v>49831.93</v>
      </c>
      <c r="J464" s="2">
        <v>5</v>
      </c>
      <c r="K464" s="2">
        <v>4754.6000000000004</v>
      </c>
      <c r="L464" s="2"/>
    </row>
    <row r="465" spans="1:12" x14ac:dyDescent="0.25">
      <c r="A465" s="2" t="s">
        <v>1231</v>
      </c>
      <c r="B465" s="4" t="s">
        <v>1141</v>
      </c>
      <c r="C465" s="2" t="str">
        <f t="shared" si="14"/>
        <v>Jul</v>
      </c>
      <c r="D465" s="2">
        <f t="shared" si="15"/>
        <v>2025</v>
      </c>
      <c r="E465" s="2" t="s">
        <v>1232</v>
      </c>
      <c r="F465" s="2" t="s">
        <v>34</v>
      </c>
      <c r="G465" s="2" t="s">
        <v>19</v>
      </c>
      <c r="H465" s="2" t="s">
        <v>63</v>
      </c>
      <c r="I465" s="2">
        <v>9338.42</v>
      </c>
      <c r="J465" s="2">
        <v>8</v>
      </c>
      <c r="K465" s="2">
        <v>912.2</v>
      </c>
      <c r="L465" s="2"/>
    </row>
    <row r="466" spans="1:12" x14ac:dyDescent="0.25">
      <c r="A466" s="2" t="s">
        <v>1233</v>
      </c>
      <c r="B466" s="4" t="s">
        <v>367</v>
      </c>
      <c r="C466" s="2" t="str">
        <f t="shared" si="14"/>
        <v>Apr</v>
      </c>
      <c r="D466" s="2">
        <f t="shared" si="15"/>
        <v>2025</v>
      </c>
      <c r="E466" s="2" t="s">
        <v>1234</v>
      </c>
      <c r="F466" s="2" t="s">
        <v>18</v>
      </c>
      <c r="G466" s="2" t="s">
        <v>13</v>
      </c>
      <c r="H466" s="2" t="s">
        <v>77</v>
      </c>
      <c r="I466" s="2">
        <v>24604.99</v>
      </c>
      <c r="J466" s="2">
        <v>10</v>
      </c>
      <c r="K466" s="2">
        <v>294.14</v>
      </c>
      <c r="L466" s="2"/>
    </row>
    <row r="467" spans="1:12" x14ac:dyDescent="0.25">
      <c r="A467" s="2" t="s">
        <v>1235</v>
      </c>
      <c r="B467" s="4" t="s">
        <v>814</v>
      </c>
      <c r="C467" s="2" t="str">
        <f t="shared" si="14"/>
        <v>Apr</v>
      </c>
      <c r="D467" s="2">
        <f t="shared" si="15"/>
        <v>2025</v>
      </c>
      <c r="E467" s="2" t="s">
        <v>1236</v>
      </c>
      <c r="F467" s="2" t="s">
        <v>97</v>
      </c>
      <c r="G467" s="2" t="s">
        <v>54</v>
      </c>
      <c r="H467" s="2" t="s">
        <v>190</v>
      </c>
      <c r="I467" s="2">
        <v>42608.55</v>
      </c>
      <c r="J467" s="2">
        <v>5</v>
      </c>
      <c r="K467" s="2">
        <v>1770.28</v>
      </c>
      <c r="L467" s="2"/>
    </row>
    <row r="468" spans="1:12" x14ac:dyDescent="0.25">
      <c r="A468" s="2" t="s">
        <v>1237</v>
      </c>
      <c r="B468" s="4" t="s">
        <v>677</v>
      </c>
      <c r="C468" s="2" t="str">
        <f t="shared" si="14"/>
        <v>Oct</v>
      </c>
      <c r="D468" s="2">
        <f t="shared" si="15"/>
        <v>2025</v>
      </c>
      <c r="E468" s="2" t="s">
        <v>1238</v>
      </c>
      <c r="F468" s="2" t="s">
        <v>24</v>
      </c>
      <c r="G468" s="2" t="s">
        <v>19</v>
      </c>
      <c r="H468" s="2" t="s">
        <v>63</v>
      </c>
      <c r="I468" s="2">
        <v>13488.88</v>
      </c>
      <c r="J468" s="2">
        <v>8</v>
      </c>
      <c r="K468" s="2">
        <v>723.45</v>
      </c>
      <c r="L468" s="2"/>
    </row>
    <row r="469" spans="1:12" x14ac:dyDescent="0.25">
      <c r="A469" s="2" t="s">
        <v>1239</v>
      </c>
      <c r="B469" s="4" t="s">
        <v>600</v>
      </c>
      <c r="C469" s="2" t="str">
        <f t="shared" si="14"/>
        <v>Dec</v>
      </c>
      <c r="D469" s="2">
        <f t="shared" si="15"/>
        <v>2025</v>
      </c>
      <c r="E469" s="2" t="s">
        <v>1240</v>
      </c>
      <c r="F469" s="2" t="s">
        <v>34</v>
      </c>
      <c r="G469" s="2" t="s">
        <v>54</v>
      </c>
      <c r="H469" s="2" t="s">
        <v>84</v>
      </c>
      <c r="I469" s="2">
        <v>16882.8</v>
      </c>
      <c r="J469" s="2">
        <v>4</v>
      </c>
      <c r="K469" s="2">
        <v>1669.02</v>
      </c>
      <c r="L469" s="2"/>
    </row>
    <row r="470" spans="1:12" x14ac:dyDescent="0.25">
      <c r="A470" s="2" t="s">
        <v>1241</v>
      </c>
      <c r="B470" s="4" t="s">
        <v>828</v>
      </c>
      <c r="C470" s="2" t="str">
        <f t="shared" si="14"/>
        <v>Jun</v>
      </c>
      <c r="D470" s="2">
        <f t="shared" si="15"/>
        <v>2025</v>
      </c>
      <c r="E470" s="2" t="s">
        <v>1242</v>
      </c>
      <c r="F470" s="2" t="s">
        <v>42</v>
      </c>
      <c r="G470" s="2" t="s">
        <v>19</v>
      </c>
      <c r="H470" s="2" t="s">
        <v>43</v>
      </c>
      <c r="I470" s="2">
        <v>49269.120000000003</v>
      </c>
      <c r="J470" s="2">
        <v>8</v>
      </c>
      <c r="K470" s="2">
        <v>14483.78</v>
      </c>
      <c r="L470" s="2"/>
    </row>
    <row r="471" spans="1:12" x14ac:dyDescent="0.25">
      <c r="A471" s="2" t="s">
        <v>1243</v>
      </c>
      <c r="B471" s="4" t="s">
        <v>610</v>
      </c>
      <c r="C471" s="2" t="str">
        <f t="shared" si="14"/>
        <v>Aug</v>
      </c>
      <c r="D471" s="2">
        <f t="shared" si="15"/>
        <v>2025</v>
      </c>
      <c r="E471" s="2" t="s">
        <v>1244</v>
      </c>
      <c r="F471" s="2" t="s">
        <v>38</v>
      </c>
      <c r="G471" s="2" t="s">
        <v>54</v>
      </c>
      <c r="H471" s="2" t="s">
        <v>190</v>
      </c>
      <c r="I471" s="2">
        <v>6967.8</v>
      </c>
      <c r="J471" s="2">
        <v>3</v>
      </c>
      <c r="K471" s="2">
        <v>-187.01</v>
      </c>
      <c r="L471" s="2"/>
    </row>
    <row r="472" spans="1:12" x14ac:dyDescent="0.25">
      <c r="A472" s="2" t="s">
        <v>1245</v>
      </c>
      <c r="B472" s="4" t="s">
        <v>1112</v>
      </c>
      <c r="C472" s="2" t="str">
        <f t="shared" si="14"/>
        <v>Jan</v>
      </c>
      <c r="D472" s="2">
        <f t="shared" si="15"/>
        <v>2025</v>
      </c>
      <c r="E472" s="2" t="s">
        <v>1246</v>
      </c>
      <c r="F472" s="2" t="s">
        <v>34</v>
      </c>
      <c r="G472" s="2" t="s">
        <v>13</v>
      </c>
      <c r="H472" s="2" t="s">
        <v>14</v>
      </c>
      <c r="I472" s="2">
        <v>32780.46</v>
      </c>
      <c r="J472" s="2">
        <v>9</v>
      </c>
      <c r="K472" s="2">
        <v>2533.06</v>
      </c>
      <c r="L472" s="2"/>
    </row>
    <row r="473" spans="1:12" x14ac:dyDescent="0.25">
      <c r="A473" s="2" t="s">
        <v>1247</v>
      </c>
      <c r="B473" s="4" t="s">
        <v>478</v>
      </c>
      <c r="C473" s="2" t="str">
        <f t="shared" si="14"/>
        <v>Oct</v>
      </c>
      <c r="D473" s="2">
        <f t="shared" si="15"/>
        <v>2025</v>
      </c>
      <c r="E473" s="2" t="s">
        <v>1248</v>
      </c>
      <c r="F473" s="2" t="s">
        <v>34</v>
      </c>
      <c r="G473" s="2" t="s">
        <v>19</v>
      </c>
      <c r="H473" s="2" t="s">
        <v>20</v>
      </c>
      <c r="I473" s="2">
        <v>35761.67</v>
      </c>
      <c r="J473" s="2">
        <v>6</v>
      </c>
      <c r="K473" s="2">
        <v>581.58000000000004</v>
      </c>
      <c r="L473" s="2"/>
    </row>
    <row r="474" spans="1:12" x14ac:dyDescent="0.25">
      <c r="A474" s="2" t="s">
        <v>1249</v>
      </c>
      <c r="B474" s="4" t="s">
        <v>1250</v>
      </c>
      <c r="C474" s="2" t="str">
        <f t="shared" si="14"/>
        <v>Feb</v>
      </c>
      <c r="D474" s="2">
        <f t="shared" si="15"/>
        <v>2025</v>
      </c>
      <c r="E474" s="2" t="s">
        <v>1251</v>
      </c>
      <c r="F474" s="2" t="s">
        <v>42</v>
      </c>
      <c r="G474" s="2" t="s">
        <v>25</v>
      </c>
      <c r="H474" s="2" t="s">
        <v>26</v>
      </c>
      <c r="I474" s="2">
        <v>7438.6</v>
      </c>
      <c r="J474" s="2">
        <v>3</v>
      </c>
      <c r="K474" s="2">
        <v>1241.03</v>
      </c>
      <c r="L474" s="2"/>
    </row>
    <row r="475" spans="1:12" x14ac:dyDescent="0.25">
      <c r="A475" s="2" t="s">
        <v>1252</v>
      </c>
      <c r="B475" s="4" t="s">
        <v>201</v>
      </c>
      <c r="C475" s="2" t="str">
        <f t="shared" si="14"/>
        <v>Sep</v>
      </c>
      <c r="D475" s="2">
        <f t="shared" si="15"/>
        <v>2025</v>
      </c>
      <c r="E475" s="2" t="s">
        <v>1253</v>
      </c>
      <c r="F475" s="2" t="s">
        <v>24</v>
      </c>
      <c r="G475" s="2" t="s">
        <v>25</v>
      </c>
      <c r="H475" s="2" t="s">
        <v>169</v>
      </c>
      <c r="I475" s="2">
        <v>16884.580000000002</v>
      </c>
      <c r="J475" s="2">
        <v>10</v>
      </c>
      <c r="K475" s="2">
        <v>97.05</v>
      </c>
      <c r="L475" s="2"/>
    </row>
    <row r="476" spans="1:12" x14ac:dyDescent="0.25">
      <c r="A476" s="2" t="s">
        <v>1254</v>
      </c>
      <c r="B476" s="4" t="s">
        <v>852</v>
      </c>
      <c r="C476" s="2" t="str">
        <f t="shared" si="14"/>
        <v>Jan</v>
      </c>
      <c r="D476" s="2">
        <f t="shared" si="15"/>
        <v>2025</v>
      </c>
      <c r="E476" s="2" t="s">
        <v>1255</v>
      </c>
      <c r="F476" s="2" t="s">
        <v>24</v>
      </c>
      <c r="G476" s="2" t="s">
        <v>19</v>
      </c>
      <c r="H476" s="2" t="s">
        <v>43</v>
      </c>
      <c r="I476" s="2">
        <v>6868.29</v>
      </c>
      <c r="J476" s="2">
        <v>9</v>
      </c>
      <c r="K476" s="2">
        <v>1061.71</v>
      </c>
      <c r="L476" s="2"/>
    </row>
    <row r="477" spans="1:12" x14ac:dyDescent="0.25">
      <c r="A477" s="2" t="s">
        <v>1256</v>
      </c>
      <c r="B477" s="4" t="s">
        <v>520</v>
      </c>
      <c r="C477" s="2" t="str">
        <f t="shared" si="14"/>
        <v>Dec</v>
      </c>
      <c r="D477" s="2">
        <f t="shared" si="15"/>
        <v>2025</v>
      </c>
      <c r="E477" s="2" t="s">
        <v>1257</v>
      </c>
      <c r="F477" s="2" t="s">
        <v>97</v>
      </c>
      <c r="G477" s="2" t="s">
        <v>19</v>
      </c>
      <c r="H477" s="2" t="s">
        <v>43</v>
      </c>
      <c r="I477" s="2">
        <v>29646.36</v>
      </c>
      <c r="J477" s="2">
        <v>3</v>
      </c>
      <c r="K477" s="2">
        <v>929.16</v>
      </c>
      <c r="L477" s="2"/>
    </row>
    <row r="478" spans="1:12" x14ac:dyDescent="0.25">
      <c r="A478" s="2" t="s">
        <v>1258</v>
      </c>
      <c r="B478" s="4" t="s">
        <v>1259</v>
      </c>
      <c r="C478" s="2" t="str">
        <f t="shared" si="14"/>
        <v>Apr</v>
      </c>
      <c r="D478" s="2">
        <f t="shared" si="15"/>
        <v>2025</v>
      </c>
      <c r="E478" s="2" t="s">
        <v>1260</v>
      </c>
      <c r="F478" s="2" t="s">
        <v>18</v>
      </c>
      <c r="G478" s="2" t="s">
        <v>25</v>
      </c>
      <c r="H478" s="2" t="s">
        <v>365</v>
      </c>
      <c r="I478" s="2">
        <v>37035.86</v>
      </c>
      <c r="J478" s="2">
        <v>9</v>
      </c>
      <c r="K478" s="2">
        <v>-570.98</v>
      </c>
      <c r="L478" s="2"/>
    </row>
    <row r="479" spans="1:12" x14ac:dyDescent="0.25">
      <c r="A479" s="2" t="s">
        <v>1261</v>
      </c>
      <c r="B479" s="4" t="s">
        <v>526</v>
      </c>
      <c r="C479" s="2" t="str">
        <f t="shared" si="14"/>
        <v>Jun</v>
      </c>
      <c r="D479" s="2">
        <f t="shared" si="15"/>
        <v>2025</v>
      </c>
      <c r="E479" s="2" t="s">
        <v>1262</v>
      </c>
      <c r="F479" s="2" t="s">
        <v>12</v>
      </c>
      <c r="G479" s="2" t="s">
        <v>54</v>
      </c>
      <c r="H479" s="2" t="s">
        <v>138</v>
      </c>
      <c r="I479" s="2">
        <v>32136.84</v>
      </c>
      <c r="J479" s="2">
        <v>6</v>
      </c>
      <c r="K479" s="2">
        <v>7801.9</v>
      </c>
      <c r="L479" s="2"/>
    </row>
    <row r="480" spans="1:12" x14ac:dyDescent="0.25">
      <c r="A480" s="2" t="s">
        <v>1263</v>
      </c>
      <c r="B480" s="4" t="s">
        <v>945</v>
      </c>
      <c r="C480" s="2" t="str">
        <f t="shared" si="14"/>
        <v>Dec</v>
      </c>
      <c r="D480" s="2">
        <f t="shared" si="15"/>
        <v>2025</v>
      </c>
      <c r="E480" s="2" t="s">
        <v>1264</v>
      </c>
      <c r="F480" s="2" t="s">
        <v>34</v>
      </c>
      <c r="G480" s="2" t="s">
        <v>54</v>
      </c>
      <c r="H480" s="2" t="s">
        <v>55</v>
      </c>
      <c r="I480" s="2">
        <v>3171.56</v>
      </c>
      <c r="J480" s="2">
        <v>6</v>
      </c>
      <c r="K480" s="2">
        <v>203.51</v>
      </c>
      <c r="L480" s="2"/>
    </row>
    <row r="481" spans="1:12" x14ac:dyDescent="0.25">
      <c r="A481" s="2" t="s">
        <v>1265</v>
      </c>
      <c r="B481" s="4" t="s">
        <v>674</v>
      </c>
      <c r="C481" s="2" t="str">
        <f t="shared" si="14"/>
        <v>May</v>
      </c>
      <c r="D481" s="2">
        <f t="shared" si="15"/>
        <v>2025</v>
      </c>
      <c r="E481" s="2" t="s">
        <v>1266</v>
      </c>
      <c r="F481" s="2" t="s">
        <v>18</v>
      </c>
      <c r="G481" s="2" t="s">
        <v>13</v>
      </c>
      <c r="H481" s="2" t="s">
        <v>121</v>
      </c>
      <c r="I481" s="2">
        <v>1460.52</v>
      </c>
      <c r="J481" s="2">
        <v>3</v>
      </c>
      <c r="K481" s="2">
        <v>264.16000000000003</v>
      </c>
      <c r="L481" s="2"/>
    </row>
    <row r="482" spans="1:12" x14ac:dyDescent="0.25">
      <c r="A482" s="2" t="s">
        <v>1267</v>
      </c>
      <c r="B482" s="4" t="s">
        <v>962</v>
      </c>
      <c r="C482" s="2" t="str">
        <f t="shared" si="14"/>
        <v>Jan</v>
      </c>
      <c r="D482" s="2">
        <f t="shared" si="15"/>
        <v>2025</v>
      </c>
      <c r="E482" s="2" t="s">
        <v>1268</v>
      </c>
      <c r="F482" s="2" t="s">
        <v>34</v>
      </c>
      <c r="G482" s="2" t="s">
        <v>13</v>
      </c>
      <c r="H482" s="2" t="s">
        <v>121</v>
      </c>
      <c r="I482" s="2">
        <v>12840.14</v>
      </c>
      <c r="J482" s="2">
        <v>2</v>
      </c>
      <c r="K482" s="2">
        <v>3586.05</v>
      </c>
      <c r="L482" s="2"/>
    </row>
    <row r="483" spans="1:12" x14ac:dyDescent="0.25">
      <c r="A483" s="2" t="s">
        <v>1269</v>
      </c>
      <c r="B483" s="4" t="s">
        <v>372</v>
      </c>
      <c r="C483" s="2" t="str">
        <f t="shared" si="14"/>
        <v>Jun</v>
      </c>
      <c r="D483" s="2">
        <f t="shared" si="15"/>
        <v>2025</v>
      </c>
      <c r="E483" s="2" t="s">
        <v>1270</v>
      </c>
      <c r="F483" s="2" t="s">
        <v>97</v>
      </c>
      <c r="G483" s="2" t="s">
        <v>54</v>
      </c>
      <c r="H483" s="2" t="s">
        <v>111</v>
      </c>
      <c r="I483" s="2">
        <v>7860.84</v>
      </c>
      <c r="J483" s="2">
        <v>2</v>
      </c>
      <c r="K483" s="2">
        <v>1126.46</v>
      </c>
      <c r="L483" s="2"/>
    </row>
    <row r="484" spans="1:12" x14ac:dyDescent="0.25">
      <c r="A484" s="2" t="s">
        <v>1271</v>
      </c>
      <c r="B484" s="4" t="s">
        <v>513</v>
      </c>
      <c r="C484" s="2" t="str">
        <f t="shared" si="14"/>
        <v>Jan</v>
      </c>
      <c r="D484" s="2">
        <f t="shared" si="15"/>
        <v>2025</v>
      </c>
      <c r="E484" s="2" t="s">
        <v>1272</v>
      </c>
      <c r="F484" s="2" t="s">
        <v>24</v>
      </c>
      <c r="G484" s="2" t="s">
        <v>13</v>
      </c>
      <c r="H484" s="2" t="s">
        <v>77</v>
      </c>
      <c r="I484" s="2">
        <v>35156.19</v>
      </c>
      <c r="J484" s="2">
        <v>9</v>
      </c>
      <c r="K484" s="2">
        <v>5355.24</v>
      </c>
      <c r="L484" s="2"/>
    </row>
    <row r="485" spans="1:12" x14ac:dyDescent="0.25">
      <c r="A485" s="2" t="s">
        <v>1273</v>
      </c>
      <c r="B485" s="4" t="s">
        <v>223</v>
      </c>
      <c r="C485" s="2" t="str">
        <f t="shared" si="14"/>
        <v>Jan</v>
      </c>
      <c r="D485" s="2">
        <f t="shared" si="15"/>
        <v>2025</v>
      </c>
      <c r="E485" s="2" t="s">
        <v>1274</v>
      </c>
      <c r="F485" s="2" t="s">
        <v>38</v>
      </c>
      <c r="G485" s="2" t="s">
        <v>25</v>
      </c>
      <c r="H485" s="2" t="s">
        <v>154</v>
      </c>
      <c r="I485" s="2">
        <v>28878.02</v>
      </c>
      <c r="J485" s="2">
        <v>1</v>
      </c>
      <c r="K485" s="2">
        <v>1753.09</v>
      </c>
      <c r="L485" s="2"/>
    </row>
    <row r="486" spans="1:12" x14ac:dyDescent="0.25">
      <c r="A486" s="2" t="s">
        <v>1275</v>
      </c>
      <c r="B486" s="4" t="s">
        <v>132</v>
      </c>
      <c r="C486" s="2" t="str">
        <f t="shared" si="14"/>
        <v>Nov</v>
      </c>
      <c r="D486" s="2">
        <f t="shared" si="15"/>
        <v>2025</v>
      </c>
      <c r="E486" s="2" t="s">
        <v>1276</v>
      </c>
      <c r="F486" s="2" t="s">
        <v>97</v>
      </c>
      <c r="G486" s="2" t="s">
        <v>13</v>
      </c>
      <c r="H486" s="2" t="s">
        <v>77</v>
      </c>
      <c r="I486" s="2">
        <v>42535.5</v>
      </c>
      <c r="J486" s="2">
        <v>2</v>
      </c>
      <c r="K486" s="2">
        <v>-1739.53</v>
      </c>
      <c r="L486" s="2"/>
    </row>
    <row r="487" spans="1:12" x14ac:dyDescent="0.25">
      <c r="A487" s="2" t="s">
        <v>1277</v>
      </c>
      <c r="B487" s="4" t="s">
        <v>833</v>
      </c>
      <c r="C487" s="2" t="str">
        <f t="shared" si="14"/>
        <v>Mar</v>
      </c>
      <c r="D487" s="2">
        <f t="shared" si="15"/>
        <v>2025</v>
      </c>
      <c r="E487" s="2" t="s">
        <v>1278</v>
      </c>
      <c r="F487" s="2" t="s">
        <v>24</v>
      </c>
      <c r="G487" s="2" t="s">
        <v>19</v>
      </c>
      <c r="H487" s="2" t="s">
        <v>43</v>
      </c>
      <c r="I487" s="2">
        <v>33696.14</v>
      </c>
      <c r="J487" s="2">
        <v>9</v>
      </c>
      <c r="K487" s="2">
        <v>6279.17</v>
      </c>
      <c r="L487" s="2"/>
    </row>
    <row r="488" spans="1:12" x14ac:dyDescent="0.25">
      <c r="A488" s="2" t="s">
        <v>1279</v>
      </c>
      <c r="B488" s="4" t="s">
        <v>1280</v>
      </c>
      <c r="C488" s="2" t="str">
        <f t="shared" si="14"/>
        <v>Jun</v>
      </c>
      <c r="D488" s="2">
        <f t="shared" si="15"/>
        <v>2025</v>
      </c>
      <c r="E488" s="2" t="s">
        <v>1281</v>
      </c>
      <c r="F488" s="2" t="s">
        <v>97</v>
      </c>
      <c r="G488" s="2" t="s">
        <v>25</v>
      </c>
      <c r="H488" s="2" t="s">
        <v>365</v>
      </c>
      <c r="I488" s="2">
        <v>2067.17</v>
      </c>
      <c r="J488" s="2">
        <v>5</v>
      </c>
      <c r="K488" s="2">
        <v>378.64</v>
      </c>
      <c r="L488" s="2"/>
    </row>
    <row r="489" spans="1:12" x14ac:dyDescent="0.25">
      <c r="A489" s="2" t="s">
        <v>1282</v>
      </c>
      <c r="B489" s="4" t="s">
        <v>256</v>
      </c>
      <c r="C489" s="2" t="str">
        <f t="shared" si="14"/>
        <v>Jan</v>
      </c>
      <c r="D489" s="2">
        <f t="shared" si="15"/>
        <v>2025</v>
      </c>
      <c r="E489" s="2" t="s">
        <v>1283</v>
      </c>
      <c r="F489" s="2" t="s">
        <v>18</v>
      </c>
      <c r="G489" s="2" t="s">
        <v>13</v>
      </c>
      <c r="H489" s="2" t="s">
        <v>30</v>
      </c>
      <c r="I489" s="2">
        <v>15888.49</v>
      </c>
      <c r="J489" s="2">
        <v>1</v>
      </c>
      <c r="K489" s="2">
        <v>4389.1099999999997</v>
      </c>
      <c r="L489" s="2"/>
    </row>
    <row r="490" spans="1:12" x14ac:dyDescent="0.25">
      <c r="A490" s="2" t="s">
        <v>1284</v>
      </c>
      <c r="B490" s="4" t="s">
        <v>551</v>
      </c>
      <c r="C490" s="2" t="str">
        <f t="shared" si="14"/>
        <v>Jul</v>
      </c>
      <c r="D490" s="2">
        <f t="shared" si="15"/>
        <v>2025</v>
      </c>
      <c r="E490" s="2" t="s">
        <v>1285</v>
      </c>
      <c r="F490" s="2" t="s">
        <v>12</v>
      </c>
      <c r="G490" s="2" t="s">
        <v>13</v>
      </c>
      <c r="H490" s="2" t="s">
        <v>77</v>
      </c>
      <c r="I490" s="2">
        <v>27432.91</v>
      </c>
      <c r="J490" s="2">
        <v>5</v>
      </c>
      <c r="K490" s="2">
        <v>7619.54</v>
      </c>
      <c r="L490" s="2"/>
    </row>
    <row r="491" spans="1:12" x14ac:dyDescent="0.25">
      <c r="A491" s="2" t="s">
        <v>1286</v>
      </c>
      <c r="B491" s="4" t="s">
        <v>746</v>
      </c>
      <c r="C491" s="2" t="str">
        <f t="shared" si="14"/>
        <v>Nov</v>
      </c>
      <c r="D491" s="2">
        <f t="shared" si="15"/>
        <v>2025</v>
      </c>
      <c r="E491" s="2" t="s">
        <v>1287</v>
      </c>
      <c r="F491" s="2" t="s">
        <v>38</v>
      </c>
      <c r="G491" s="2" t="s">
        <v>13</v>
      </c>
      <c r="H491" s="2" t="s">
        <v>77</v>
      </c>
      <c r="I491" s="2">
        <v>20317.310000000001</v>
      </c>
      <c r="J491" s="2">
        <v>9</v>
      </c>
      <c r="K491" s="2">
        <v>973.16</v>
      </c>
      <c r="L491" s="2"/>
    </row>
    <row r="492" spans="1:12" x14ac:dyDescent="0.25">
      <c r="A492" s="2" t="s">
        <v>1288</v>
      </c>
      <c r="B492" s="4" t="s">
        <v>1289</v>
      </c>
      <c r="C492" s="2" t="str">
        <f t="shared" si="14"/>
        <v>Nov</v>
      </c>
      <c r="D492" s="2">
        <f t="shared" si="15"/>
        <v>2025</v>
      </c>
      <c r="E492" s="2" t="s">
        <v>1290</v>
      </c>
      <c r="F492" s="2" t="s">
        <v>34</v>
      </c>
      <c r="G492" s="2" t="s">
        <v>19</v>
      </c>
      <c r="H492" s="2" t="s">
        <v>43</v>
      </c>
      <c r="I492" s="2">
        <v>19865.830000000002</v>
      </c>
      <c r="J492" s="2">
        <v>7</v>
      </c>
      <c r="K492" s="2">
        <v>3451.15</v>
      </c>
      <c r="L492" s="2"/>
    </row>
    <row r="493" spans="1:12" x14ac:dyDescent="0.25">
      <c r="A493" s="2" t="s">
        <v>1291</v>
      </c>
      <c r="B493" s="4" t="s">
        <v>36</v>
      </c>
      <c r="C493" s="2" t="str">
        <f t="shared" si="14"/>
        <v>Sep</v>
      </c>
      <c r="D493" s="2">
        <f t="shared" si="15"/>
        <v>2025</v>
      </c>
      <c r="E493" s="2" t="s">
        <v>1292</v>
      </c>
      <c r="F493" s="2" t="s">
        <v>24</v>
      </c>
      <c r="G493" s="2" t="s">
        <v>19</v>
      </c>
      <c r="H493" s="2" t="s">
        <v>43</v>
      </c>
      <c r="I493" s="2">
        <v>9509.7999999999993</v>
      </c>
      <c r="J493" s="2">
        <v>4</v>
      </c>
      <c r="K493" s="2">
        <v>2138.35</v>
      </c>
      <c r="L493" s="2"/>
    </row>
    <row r="494" spans="1:12" x14ac:dyDescent="0.25">
      <c r="A494" s="2" t="s">
        <v>1293</v>
      </c>
      <c r="B494" s="4" t="s">
        <v>132</v>
      </c>
      <c r="C494" s="2" t="str">
        <f t="shared" si="14"/>
        <v>Nov</v>
      </c>
      <c r="D494" s="2">
        <f t="shared" si="15"/>
        <v>2025</v>
      </c>
      <c r="E494" s="2" t="s">
        <v>1294</v>
      </c>
      <c r="F494" s="2" t="s">
        <v>42</v>
      </c>
      <c r="G494" s="2" t="s">
        <v>54</v>
      </c>
      <c r="H494" s="2" t="s">
        <v>190</v>
      </c>
      <c r="I494" s="2">
        <v>25437.759999999998</v>
      </c>
      <c r="J494" s="2">
        <v>9</v>
      </c>
      <c r="K494" s="2">
        <v>4079</v>
      </c>
      <c r="L494" s="2"/>
    </row>
    <row r="495" spans="1:12" x14ac:dyDescent="0.25">
      <c r="A495" s="2" t="s">
        <v>1295</v>
      </c>
      <c r="B495" s="4" t="s">
        <v>967</v>
      </c>
      <c r="C495" s="2" t="str">
        <f t="shared" si="14"/>
        <v>Jan</v>
      </c>
      <c r="D495" s="2">
        <f t="shared" si="15"/>
        <v>2025</v>
      </c>
      <c r="E495" s="2" t="s">
        <v>1296</v>
      </c>
      <c r="F495" s="2" t="s">
        <v>38</v>
      </c>
      <c r="G495" s="2" t="s">
        <v>19</v>
      </c>
      <c r="H495" s="2" t="s">
        <v>43</v>
      </c>
      <c r="I495" s="2">
        <v>44973.07</v>
      </c>
      <c r="J495" s="2">
        <v>10</v>
      </c>
      <c r="K495" s="2">
        <v>6337.7</v>
      </c>
      <c r="L495" s="2"/>
    </row>
    <row r="496" spans="1:12" x14ac:dyDescent="0.25">
      <c r="A496" s="2" t="s">
        <v>1297</v>
      </c>
      <c r="B496" s="4" t="s">
        <v>232</v>
      </c>
      <c r="C496" s="2" t="str">
        <f t="shared" si="14"/>
        <v>Mar</v>
      </c>
      <c r="D496" s="2">
        <f t="shared" si="15"/>
        <v>2025</v>
      </c>
      <c r="E496" s="2" t="s">
        <v>1298</v>
      </c>
      <c r="F496" s="2" t="s">
        <v>18</v>
      </c>
      <c r="G496" s="2" t="s">
        <v>25</v>
      </c>
      <c r="H496" s="2" t="s">
        <v>154</v>
      </c>
      <c r="I496" s="2">
        <v>16862.86</v>
      </c>
      <c r="J496" s="2">
        <v>10</v>
      </c>
      <c r="K496" s="2">
        <v>1127.3499999999999</v>
      </c>
      <c r="L496" s="2"/>
    </row>
    <row r="497" spans="1:12" x14ac:dyDescent="0.25">
      <c r="A497" s="2" t="s">
        <v>1299</v>
      </c>
      <c r="B497" s="4" t="s">
        <v>1300</v>
      </c>
      <c r="C497" s="2" t="str">
        <f t="shared" si="14"/>
        <v>Nov</v>
      </c>
      <c r="D497" s="2">
        <f t="shared" si="15"/>
        <v>2025</v>
      </c>
      <c r="E497" s="2" t="s">
        <v>1301</v>
      </c>
      <c r="F497" s="2" t="s">
        <v>42</v>
      </c>
      <c r="G497" s="2" t="s">
        <v>25</v>
      </c>
      <c r="H497" s="2" t="s">
        <v>26</v>
      </c>
      <c r="I497" s="2">
        <v>530.83000000000004</v>
      </c>
      <c r="J497" s="2">
        <v>5</v>
      </c>
      <c r="K497" s="2">
        <v>85.78</v>
      </c>
      <c r="L497" s="2"/>
    </row>
    <row r="498" spans="1:12" x14ac:dyDescent="0.25">
      <c r="A498" s="2" t="s">
        <v>1302</v>
      </c>
      <c r="B498" s="4" t="s">
        <v>1192</v>
      </c>
      <c r="C498" s="2" t="str">
        <f t="shared" si="14"/>
        <v>Sep</v>
      </c>
      <c r="D498" s="2">
        <f t="shared" si="15"/>
        <v>2025</v>
      </c>
      <c r="E498" s="2" t="s">
        <v>1303</v>
      </c>
      <c r="F498" s="2" t="s">
        <v>18</v>
      </c>
      <c r="G498" s="2" t="s">
        <v>19</v>
      </c>
      <c r="H498" s="2" t="s">
        <v>59</v>
      </c>
      <c r="I498" s="2">
        <v>30119.95</v>
      </c>
      <c r="J498" s="2">
        <v>4</v>
      </c>
      <c r="K498" s="2">
        <v>4487.28</v>
      </c>
      <c r="L498" s="2"/>
    </row>
    <row r="499" spans="1:12" x14ac:dyDescent="0.25">
      <c r="A499" s="2" t="s">
        <v>1304</v>
      </c>
      <c r="B499" s="4" t="s">
        <v>1305</v>
      </c>
      <c r="C499" s="2" t="str">
        <f t="shared" si="14"/>
        <v>Dec</v>
      </c>
      <c r="D499" s="2">
        <f t="shared" si="15"/>
        <v>2025</v>
      </c>
      <c r="E499" s="2" t="s">
        <v>1306</v>
      </c>
      <c r="F499" s="2" t="s">
        <v>34</v>
      </c>
      <c r="G499" s="2" t="s">
        <v>19</v>
      </c>
      <c r="H499" s="2" t="s">
        <v>43</v>
      </c>
      <c r="I499" s="2">
        <v>9013</v>
      </c>
      <c r="J499" s="2">
        <v>5</v>
      </c>
      <c r="K499" s="2">
        <v>1709.88</v>
      </c>
      <c r="L499" s="2"/>
    </row>
    <row r="500" spans="1:12" x14ac:dyDescent="0.25">
      <c r="A500" s="2" t="s">
        <v>1307</v>
      </c>
      <c r="B500" s="4" t="s">
        <v>1289</v>
      </c>
      <c r="C500" s="2" t="str">
        <f t="shared" si="14"/>
        <v>Nov</v>
      </c>
      <c r="D500" s="2">
        <f t="shared" si="15"/>
        <v>2025</v>
      </c>
      <c r="E500" s="2" t="s">
        <v>1308</v>
      </c>
      <c r="F500" s="2" t="s">
        <v>38</v>
      </c>
      <c r="G500" s="2" t="s">
        <v>19</v>
      </c>
      <c r="H500" s="2" t="s">
        <v>59</v>
      </c>
      <c r="I500" s="2">
        <v>22725.79</v>
      </c>
      <c r="J500" s="2">
        <v>7</v>
      </c>
      <c r="K500" s="2">
        <v>1749.65</v>
      </c>
      <c r="L500" s="2"/>
    </row>
    <row r="501" spans="1:12" x14ac:dyDescent="0.25">
      <c r="A501" s="2" t="s">
        <v>1309</v>
      </c>
      <c r="B501" s="4" t="s">
        <v>1310</v>
      </c>
      <c r="C501" s="2" t="str">
        <f t="shared" si="14"/>
        <v>Mar</v>
      </c>
      <c r="D501" s="2">
        <f t="shared" si="15"/>
        <v>2025</v>
      </c>
      <c r="E501" s="2" t="s">
        <v>147</v>
      </c>
      <c r="F501" s="2" t="s">
        <v>38</v>
      </c>
      <c r="G501" s="2" t="s">
        <v>19</v>
      </c>
      <c r="H501" s="2" t="s">
        <v>43</v>
      </c>
      <c r="I501" s="2">
        <v>46392.160000000003</v>
      </c>
      <c r="J501" s="2">
        <v>5</v>
      </c>
      <c r="K501" s="2">
        <v>-2180.4899999999998</v>
      </c>
      <c r="L501" s="2"/>
    </row>
    <row r="502" spans="1:12" x14ac:dyDescent="0.25">
      <c r="A502" s="2" t="s">
        <v>1311</v>
      </c>
      <c r="B502" s="4" t="s">
        <v>253</v>
      </c>
      <c r="C502" s="2" t="str">
        <f t="shared" si="14"/>
        <v>Jul</v>
      </c>
      <c r="D502" s="2">
        <f t="shared" si="15"/>
        <v>2025</v>
      </c>
      <c r="E502" s="2" t="s">
        <v>1312</v>
      </c>
      <c r="F502" s="2" t="s">
        <v>12</v>
      </c>
      <c r="G502" s="2" t="s">
        <v>19</v>
      </c>
      <c r="H502" s="2" t="s">
        <v>43</v>
      </c>
      <c r="I502" s="2">
        <v>10188.58</v>
      </c>
      <c r="J502" s="2">
        <v>3</v>
      </c>
      <c r="K502" s="2">
        <v>100.23</v>
      </c>
      <c r="L502" s="2"/>
    </row>
    <row r="503" spans="1:12" x14ac:dyDescent="0.25">
      <c r="A503" s="2" t="s">
        <v>1313</v>
      </c>
      <c r="B503" s="4" t="s">
        <v>1040</v>
      </c>
      <c r="C503" s="2" t="str">
        <f t="shared" si="14"/>
        <v>Oct</v>
      </c>
      <c r="D503" s="2">
        <f t="shared" si="15"/>
        <v>2025</v>
      </c>
      <c r="E503" s="2" t="s">
        <v>1314</v>
      </c>
      <c r="F503" s="2" t="s">
        <v>34</v>
      </c>
      <c r="G503" s="2" t="s">
        <v>25</v>
      </c>
      <c r="H503" s="2" t="s">
        <v>365</v>
      </c>
      <c r="I503" s="2">
        <v>34645.9</v>
      </c>
      <c r="J503" s="2">
        <v>8</v>
      </c>
      <c r="K503" s="2">
        <v>4111.33</v>
      </c>
      <c r="L503" s="2"/>
    </row>
    <row r="504" spans="1:12" x14ac:dyDescent="0.25">
      <c r="A504" s="2" t="s">
        <v>1315</v>
      </c>
      <c r="B504" s="4" t="s">
        <v>323</v>
      </c>
      <c r="C504" s="2" t="str">
        <f t="shared" si="14"/>
        <v>Nov</v>
      </c>
      <c r="D504" s="2">
        <f t="shared" si="15"/>
        <v>2025</v>
      </c>
      <c r="E504" s="2" t="s">
        <v>1316</v>
      </c>
      <c r="F504" s="2" t="s">
        <v>24</v>
      </c>
      <c r="G504" s="2" t="s">
        <v>13</v>
      </c>
      <c r="H504" s="2" t="s">
        <v>121</v>
      </c>
      <c r="I504" s="2">
        <v>42150.720000000001</v>
      </c>
      <c r="J504" s="2">
        <v>3</v>
      </c>
      <c r="K504" s="2">
        <v>1653.2</v>
      </c>
      <c r="L504" s="2"/>
    </row>
    <row r="505" spans="1:12" x14ac:dyDescent="0.25">
      <c r="A505" s="2" t="s">
        <v>1317</v>
      </c>
      <c r="B505" s="4" t="s">
        <v>1151</v>
      </c>
      <c r="C505" s="2" t="str">
        <f t="shared" si="14"/>
        <v>May</v>
      </c>
      <c r="D505" s="2">
        <f t="shared" si="15"/>
        <v>2025</v>
      </c>
      <c r="E505" s="2" t="s">
        <v>1318</v>
      </c>
      <c r="F505" s="2" t="s">
        <v>24</v>
      </c>
      <c r="G505" s="2" t="s">
        <v>13</v>
      </c>
      <c r="H505" s="2" t="s">
        <v>77</v>
      </c>
      <c r="I505" s="2">
        <v>20771.59</v>
      </c>
      <c r="J505" s="2">
        <v>5</v>
      </c>
      <c r="K505" s="2">
        <v>1521.1</v>
      </c>
      <c r="L505" s="2"/>
    </row>
    <row r="506" spans="1:12" x14ac:dyDescent="0.25">
      <c r="A506" s="2" t="s">
        <v>1319</v>
      </c>
      <c r="B506" s="4" t="s">
        <v>337</v>
      </c>
      <c r="C506" s="2" t="str">
        <f t="shared" si="14"/>
        <v>May</v>
      </c>
      <c r="D506" s="2">
        <f t="shared" si="15"/>
        <v>2025</v>
      </c>
      <c r="E506" s="2" t="s">
        <v>1320</v>
      </c>
      <c r="F506" s="2" t="s">
        <v>24</v>
      </c>
      <c r="G506" s="2" t="s">
        <v>54</v>
      </c>
      <c r="H506" s="2" t="s">
        <v>190</v>
      </c>
      <c r="I506" s="2">
        <v>46947.17</v>
      </c>
      <c r="J506" s="2">
        <v>5</v>
      </c>
      <c r="K506" s="2">
        <v>-1535.7</v>
      </c>
      <c r="L506" s="2"/>
    </row>
    <row r="507" spans="1:12" x14ac:dyDescent="0.25">
      <c r="A507" s="2" t="s">
        <v>1321</v>
      </c>
      <c r="B507" s="4" t="s">
        <v>680</v>
      </c>
      <c r="C507" s="2" t="str">
        <f t="shared" si="14"/>
        <v>Nov</v>
      </c>
      <c r="D507" s="2">
        <f t="shared" si="15"/>
        <v>2025</v>
      </c>
      <c r="E507" s="2" t="s">
        <v>1322</v>
      </c>
      <c r="F507" s="2" t="s">
        <v>97</v>
      </c>
      <c r="G507" s="2" t="s">
        <v>13</v>
      </c>
      <c r="H507" s="2" t="s">
        <v>73</v>
      </c>
      <c r="I507" s="2">
        <v>4481.88</v>
      </c>
      <c r="J507" s="2">
        <v>9</v>
      </c>
      <c r="K507" s="2">
        <v>680.66</v>
      </c>
      <c r="L507" s="2"/>
    </row>
    <row r="508" spans="1:12" x14ac:dyDescent="0.25">
      <c r="A508" s="2" t="s">
        <v>1323</v>
      </c>
      <c r="B508" s="4" t="s">
        <v>916</v>
      </c>
      <c r="C508" s="2" t="str">
        <f t="shared" si="14"/>
        <v>Jun</v>
      </c>
      <c r="D508" s="2">
        <f t="shared" si="15"/>
        <v>2025</v>
      </c>
      <c r="E508" s="2" t="s">
        <v>1324</v>
      </c>
      <c r="F508" s="2" t="s">
        <v>97</v>
      </c>
      <c r="G508" s="2" t="s">
        <v>54</v>
      </c>
      <c r="H508" s="2" t="s">
        <v>111</v>
      </c>
      <c r="I508" s="2">
        <v>7144.63</v>
      </c>
      <c r="J508" s="2">
        <v>3</v>
      </c>
      <c r="K508" s="2">
        <v>1021.05</v>
      </c>
      <c r="L508" s="2"/>
    </row>
    <row r="509" spans="1:12" x14ac:dyDescent="0.25">
      <c r="A509" s="2" t="s">
        <v>1325</v>
      </c>
      <c r="B509" s="4" t="s">
        <v>1027</v>
      </c>
      <c r="C509" s="2" t="str">
        <f t="shared" si="14"/>
        <v>Jan</v>
      </c>
      <c r="D509" s="2">
        <f t="shared" si="15"/>
        <v>2025</v>
      </c>
      <c r="E509" s="2" t="s">
        <v>1326</v>
      </c>
      <c r="F509" s="2" t="s">
        <v>38</v>
      </c>
      <c r="G509" s="2" t="s">
        <v>54</v>
      </c>
      <c r="H509" s="2" t="s">
        <v>111</v>
      </c>
      <c r="I509" s="2">
        <v>25447.26</v>
      </c>
      <c r="J509" s="2">
        <v>7</v>
      </c>
      <c r="K509" s="2">
        <v>1056.01</v>
      </c>
      <c r="L509" s="2"/>
    </row>
    <row r="510" spans="1:12" x14ac:dyDescent="0.25">
      <c r="A510" s="2" t="s">
        <v>1327</v>
      </c>
      <c r="B510" s="4" t="s">
        <v>1328</v>
      </c>
      <c r="C510" s="2" t="str">
        <f t="shared" si="14"/>
        <v>Feb</v>
      </c>
      <c r="D510" s="2">
        <f t="shared" si="15"/>
        <v>2025</v>
      </c>
      <c r="E510" s="2" t="s">
        <v>1329</v>
      </c>
      <c r="F510" s="2" t="s">
        <v>97</v>
      </c>
      <c r="G510" s="2" t="s">
        <v>19</v>
      </c>
      <c r="H510" s="2" t="s">
        <v>59</v>
      </c>
      <c r="I510" s="2">
        <v>40820.31</v>
      </c>
      <c r="J510" s="2">
        <v>2</v>
      </c>
      <c r="K510" s="2">
        <v>3795.55</v>
      </c>
      <c r="L510" s="2"/>
    </row>
    <row r="511" spans="1:12" x14ac:dyDescent="0.25">
      <c r="A511" s="2" t="s">
        <v>1330</v>
      </c>
      <c r="B511" s="4" t="s">
        <v>337</v>
      </c>
      <c r="C511" s="2" t="str">
        <f t="shared" si="14"/>
        <v>May</v>
      </c>
      <c r="D511" s="2">
        <f t="shared" si="15"/>
        <v>2025</v>
      </c>
      <c r="E511" s="2" t="s">
        <v>1331</v>
      </c>
      <c r="F511" s="2" t="s">
        <v>18</v>
      </c>
      <c r="G511" s="2" t="s">
        <v>25</v>
      </c>
      <c r="H511" s="2" t="s">
        <v>26</v>
      </c>
      <c r="I511" s="2">
        <v>16194.19</v>
      </c>
      <c r="J511" s="2">
        <v>4</v>
      </c>
      <c r="K511" s="2">
        <v>371.37</v>
      </c>
      <c r="L511" s="2"/>
    </row>
    <row r="512" spans="1:12" x14ac:dyDescent="0.25">
      <c r="A512" s="2" t="s">
        <v>1332</v>
      </c>
      <c r="B512" s="4" t="s">
        <v>22</v>
      </c>
      <c r="C512" s="2" t="str">
        <f t="shared" si="14"/>
        <v>Mar</v>
      </c>
      <c r="D512" s="2">
        <f t="shared" si="15"/>
        <v>2025</v>
      </c>
      <c r="E512" s="2" t="s">
        <v>1333</v>
      </c>
      <c r="F512" s="2" t="s">
        <v>24</v>
      </c>
      <c r="G512" s="2" t="s">
        <v>25</v>
      </c>
      <c r="H512" s="2" t="s">
        <v>154</v>
      </c>
      <c r="I512" s="2">
        <v>27285.75</v>
      </c>
      <c r="J512" s="2">
        <v>5</v>
      </c>
      <c r="K512" s="2">
        <v>6575.93</v>
      </c>
      <c r="L512" s="2"/>
    </row>
    <row r="513" spans="1:12" x14ac:dyDescent="0.25">
      <c r="A513" s="2" t="s">
        <v>1334</v>
      </c>
      <c r="B513" s="4" t="s">
        <v>874</v>
      </c>
      <c r="C513" s="2" t="str">
        <f t="shared" si="14"/>
        <v>Dec</v>
      </c>
      <c r="D513" s="2">
        <f t="shared" si="15"/>
        <v>2025</v>
      </c>
      <c r="E513" s="2" t="s">
        <v>1335</v>
      </c>
      <c r="F513" s="2" t="s">
        <v>34</v>
      </c>
      <c r="G513" s="2" t="s">
        <v>13</v>
      </c>
      <c r="H513" s="2" t="s">
        <v>73</v>
      </c>
      <c r="I513" s="2">
        <v>22463.29</v>
      </c>
      <c r="J513" s="2">
        <v>2</v>
      </c>
      <c r="K513" s="2">
        <v>-936.95</v>
      </c>
      <c r="L513" s="2"/>
    </row>
    <row r="514" spans="1:12" x14ac:dyDescent="0.25">
      <c r="A514" s="2" t="s">
        <v>1336</v>
      </c>
      <c r="B514" s="4" t="s">
        <v>863</v>
      </c>
      <c r="C514" s="2" t="str">
        <f t="shared" si="14"/>
        <v>Dec</v>
      </c>
      <c r="D514" s="2">
        <f t="shared" si="15"/>
        <v>2025</v>
      </c>
      <c r="E514" s="2" t="s">
        <v>1337</v>
      </c>
      <c r="F514" s="2" t="s">
        <v>97</v>
      </c>
      <c r="G514" s="2" t="s">
        <v>13</v>
      </c>
      <c r="H514" s="2" t="s">
        <v>77</v>
      </c>
      <c r="I514" s="2">
        <v>34849.279999999999</v>
      </c>
      <c r="J514" s="2">
        <v>5</v>
      </c>
      <c r="K514" s="2">
        <v>3350.15</v>
      </c>
      <c r="L514" s="2"/>
    </row>
    <row r="515" spans="1:12" x14ac:dyDescent="0.25">
      <c r="A515" s="2" t="s">
        <v>1338</v>
      </c>
      <c r="B515" s="4" t="s">
        <v>507</v>
      </c>
      <c r="C515" s="2" t="str">
        <f t="shared" ref="C515:C578" si="16">TEXT(B515, "mmm")</f>
        <v>Apr</v>
      </c>
      <c r="D515" s="2">
        <f t="shared" ref="D515:D578" si="17">YEAR(B515)</f>
        <v>2025</v>
      </c>
      <c r="E515" s="2" t="s">
        <v>1339</v>
      </c>
      <c r="F515" s="2" t="s">
        <v>18</v>
      </c>
      <c r="G515" s="2" t="s">
        <v>19</v>
      </c>
      <c r="H515" s="2" t="s">
        <v>20</v>
      </c>
      <c r="I515" s="2">
        <v>42868.58</v>
      </c>
      <c r="J515" s="2">
        <v>9</v>
      </c>
      <c r="K515" s="2">
        <v>8609.07</v>
      </c>
      <c r="L515" s="2"/>
    </row>
    <row r="516" spans="1:12" x14ac:dyDescent="0.25">
      <c r="A516" s="2" t="s">
        <v>1340</v>
      </c>
      <c r="B516" s="4" t="s">
        <v>921</v>
      </c>
      <c r="C516" s="2" t="str">
        <f t="shared" si="16"/>
        <v>Sep</v>
      </c>
      <c r="D516" s="2">
        <f t="shared" si="17"/>
        <v>2025</v>
      </c>
      <c r="E516" s="2" t="s">
        <v>1341</v>
      </c>
      <c r="F516" s="2" t="s">
        <v>18</v>
      </c>
      <c r="G516" s="2" t="s">
        <v>13</v>
      </c>
      <c r="H516" s="2" t="s">
        <v>14</v>
      </c>
      <c r="I516" s="2">
        <v>8384.6</v>
      </c>
      <c r="J516" s="2">
        <v>9</v>
      </c>
      <c r="K516" s="2">
        <v>-47.55</v>
      </c>
      <c r="L516" s="2"/>
    </row>
    <row r="517" spans="1:12" x14ac:dyDescent="0.25">
      <c r="A517" s="2" t="s">
        <v>1342</v>
      </c>
      <c r="B517" s="4" t="s">
        <v>1280</v>
      </c>
      <c r="C517" s="2" t="str">
        <f t="shared" si="16"/>
        <v>Jun</v>
      </c>
      <c r="D517" s="2">
        <f t="shared" si="17"/>
        <v>2025</v>
      </c>
      <c r="E517" s="2" t="s">
        <v>1343</v>
      </c>
      <c r="F517" s="2" t="s">
        <v>42</v>
      </c>
      <c r="G517" s="2" t="s">
        <v>19</v>
      </c>
      <c r="H517" s="2" t="s">
        <v>101</v>
      </c>
      <c r="I517" s="2">
        <v>5649.37</v>
      </c>
      <c r="J517" s="2">
        <v>5</v>
      </c>
      <c r="K517" s="2">
        <v>173.05</v>
      </c>
      <c r="L517" s="2"/>
    </row>
    <row r="518" spans="1:12" x14ac:dyDescent="0.25">
      <c r="A518" s="2" t="s">
        <v>1344</v>
      </c>
      <c r="B518" s="4" t="s">
        <v>1345</v>
      </c>
      <c r="C518" s="2" t="str">
        <f t="shared" si="16"/>
        <v>Sep</v>
      </c>
      <c r="D518" s="2">
        <f t="shared" si="17"/>
        <v>2025</v>
      </c>
      <c r="E518" s="2" t="s">
        <v>1346</v>
      </c>
      <c r="F518" s="2" t="s">
        <v>38</v>
      </c>
      <c r="G518" s="2" t="s">
        <v>54</v>
      </c>
      <c r="H518" s="2" t="s">
        <v>84</v>
      </c>
      <c r="I518" s="2">
        <v>21847.279999999999</v>
      </c>
      <c r="J518" s="2">
        <v>8</v>
      </c>
      <c r="K518" s="2">
        <v>1412.09</v>
      </c>
      <c r="L518" s="2"/>
    </row>
    <row r="519" spans="1:12" x14ac:dyDescent="0.25">
      <c r="A519" s="2" t="s">
        <v>1347</v>
      </c>
      <c r="B519" s="4" t="s">
        <v>164</v>
      </c>
      <c r="C519" s="2" t="str">
        <f t="shared" si="16"/>
        <v>Jun</v>
      </c>
      <c r="D519" s="2">
        <f t="shared" si="17"/>
        <v>2025</v>
      </c>
      <c r="E519" s="2" t="s">
        <v>1348</v>
      </c>
      <c r="F519" s="2" t="s">
        <v>97</v>
      </c>
      <c r="G519" s="2" t="s">
        <v>13</v>
      </c>
      <c r="H519" s="2" t="s">
        <v>121</v>
      </c>
      <c r="I519" s="2">
        <v>13786.64</v>
      </c>
      <c r="J519" s="2">
        <v>5</v>
      </c>
      <c r="K519" s="2">
        <v>2263.9899999999998</v>
      </c>
      <c r="L519" s="2"/>
    </row>
    <row r="520" spans="1:12" x14ac:dyDescent="0.25">
      <c r="A520" s="2" t="s">
        <v>1349</v>
      </c>
      <c r="B520" s="4" t="s">
        <v>1350</v>
      </c>
      <c r="C520" s="2" t="str">
        <f t="shared" si="16"/>
        <v>Feb</v>
      </c>
      <c r="D520" s="2">
        <f t="shared" si="17"/>
        <v>2025</v>
      </c>
      <c r="E520" s="2" t="s">
        <v>1351</v>
      </c>
      <c r="F520" s="2" t="s">
        <v>34</v>
      </c>
      <c r="G520" s="2" t="s">
        <v>13</v>
      </c>
      <c r="H520" s="2" t="s">
        <v>77</v>
      </c>
      <c r="I520" s="2">
        <v>6854.88</v>
      </c>
      <c r="J520" s="2">
        <v>4</v>
      </c>
      <c r="K520" s="2">
        <v>1232.71</v>
      </c>
      <c r="L520" s="2"/>
    </row>
    <row r="521" spans="1:12" x14ac:dyDescent="0.25">
      <c r="A521" s="2" t="s">
        <v>1352</v>
      </c>
      <c r="B521" s="4" t="s">
        <v>152</v>
      </c>
      <c r="C521" s="2" t="str">
        <f t="shared" si="16"/>
        <v>Apr</v>
      </c>
      <c r="D521" s="2">
        <f t="shared" si="17"/>
        <v>2025</v>
      </c>
      <c r="E521" s="2" t="s">
        <v>1353</v>
      </c>
      <c r="F521" s="2" t="s">
        <v>24</v>
      </c>
      <c r="G521" s="2" t="s">
        <v>13</v>
      </c>
      <c r="H521" s="2" t="s">
        <v>77</v>
      </c>
      <c r="I521" s="2">
        <v>22848.5</v>
      </c>
      <c r="J521" s="2">
        <v>6</v>
      </c>
      <c r="K521" s="2">
        <v>1741.62</v>
      </c>
      <c r="L521" s="2"/>
    </row>
    <row r="522" spans="1:12" x14ac:dyDescent="0.25">
      <c r="A522" s="2" t="s">
        <v>1354</v>
      </c>
      <c r="B522" s="4" t="s">
        <v>1355</v>
      </c>
      <c r="C522" s="2" t="str">
        <f t="shared" si="16"/>
        <v>Jan</v>
      </c>
      <c r="D522" s="2">
        <f t="shared" si="17"/>
        <v>2025</v>
      </c>
      <c r="E522" s="2" t="s">
        <v>1356</v>
      </c>
      <c r="F522" s="2" t="s">
        <v>18</v>
      </c>
      <c r="G522" s="2" t="s">
        <v>19</v>
      </c>
      <c r="H522" s="2" t="s">
        <v>59</v>
      </c>
      <c r="I522" s="2">
        <v>22989</v>
      </c>
      <c r="J522" s="2">
        <v>9</v>
      </c>
      <c r="K522" s="2">
        <v>3563.62</v>
      </c>
      <c r="L522" s="2"/>
    </row>
    <row r="523" spans="1:12" x14ac:dyDescent="0.25">
      <c r="A523" s="2" t="s">
        <v>1357</v>
      </c>
      <c r="B523" s="4" t="s">
        <v>945</v>
      </c>
      <c r="C523" s="2" t="str">
        <f t="shared" si="16"/>
        <v>Dec</v>
      </c>
      <c r="D523" s="2">
        <f t="shared" si="17"/>
        <v>2025</v>
      </c>
      <c r="E523" s="2" t="s">
        <v>1358</v>
      </c>
      <c r="F523" s="2" t="s">
        <v>97</v>
      </c>
      <c r="G523" s="2" t="s">
        <v>13</v>
      </c>
      <c r="H523" s="2" t="s">
        <v>14</v>
      </c>
      <c r="I523" s="2">
        <v>28981.61</v>
      </c>
      <c r="J523" s="2">
        <v>1</v>
      </c>
      <c r="K523" s="2">
        <v>8457.33</v>
      </c>
      <c r="L523" s="2"/>
    </row>
    <row r="524" spans="1:12" x14ac:dyDescent="0.25">
      <c r="A524" s="2" t="s">
        <v>1359</v>
      </c>
      <c r="B524" s="4" t="s">
        <v>171</v>
      </c>
      <c r="C524" s="2" t="str">
        <f t="shared" si="16"/>
        <v>Jun</v>
      </c>
      <c r="D524" s="2">
        <f t="shared" si="17"/>
        <v>2025</v>
      </c>
      <c r="E524" s="2" t="s">
        <v>1360</v>
      </c>
      <c r="F524" s="2" t="s">
        <v>18</v>
      </c>
      <c r="G524" s="2" t="s">
        <v>19</v>
      </c>
      <c r="H524" s="2" t="s">
        <v>101</v>
      </c>
      <c r="I524" s="2">
        <v>23352.69</v>
      </c>
      <c r="J524" s="2">
        <v>2</v>
      </c>
      <c r="K524" s="2">
        <v>358.27</v>
      </c>
      <c r="L524" s="2"/>
    </row>
    <row r="525" spans="1:12" x14ac:dyDescent="0.25">
      <c r="A525" s="2" t="s">
        <v>1361</v>
      </c>
      <c r="B525" s="4" t="s">
        <v>1362</v>
      </c>
      <c r="C525" s="2" t="str">
        <f t="shared" si="16"/>
        <v>Oct</v>
      </c>
      <c r="D525" s="2">
        <f t="shared" si="17"/>
        <v>2025</v>
      </c>
      <c r="E525" s="2" t="s">
        <v>1363</v>
      </c>
      <c r="F525" s="2" t="s">
        <v>12</v>
      </c>
      <c r="G525" s="2" t="s">
        <v>13</v>
      </c>
      <c r="H525" s="2" t="s">
        <v>73</v>
      </c>
      <c r="I525" s="2">
        <v>6793.13</v>
      </c>
      <c r="J525" s="2">
        <v>7</v>
      </c>
      <c r="K525" s="2">
        <v>1437.95</v>
      </c>
      <c r="L525" s="2"/>
    </row>
    <row r="526" spans="1:12" x14ac:dyDescent="0.25">
      <c r="A526" s="2" t="s">
        <v>1364</v>
      </c>
      <c r="B526" s="4" t="s">
        <v>126</v>
      </c>
      <c r="C526" s="2" t="str">
        <f t="shared" si="16"/>
        <v>Sep</v>
      </c>
      <c r="D526" s="2">
        <f t="shared" si="17"/>
        <v>2025</v>
      </c>
      <c r="E526" s="2" t="s">
        <v>1365</v>
      </c>
      <c r="F526" s="2" t="s">
        <v>42</v>
      </c>
      <c r="G526" s="2" t="s">
        <v>13</v>
      </c>
      <c r="H526" s="2" t="s">
        <v>30</v>
      </c>
      <c r="I526" s="2">
        <v>6265.53</v>
      </c>
      <c r="J526" s="2">
        <v>7</v>
      </c>
      <c r="K526" s="2">
        <v>1289.6199999999999</v>
      </c>
      <c r="L526" s="2"/>
    </row>
    <row r="527" spans="1:12" x14ac:dyDescent="0.25">
      <c r="A527" s="2" t="s">
        <v>1366</v>
      </c>
      <c r="B527" s="4" t="s">
        <v>828</v>
      </c>
      <c r="C527" s="2" t="str">
        <f t="shared" si="16"/>
        <v>Jun</v>
      </c>
      <c r="D527" s="2">
        <f t="shared" si="17"/>
        <v>2025</v>
      </c>
      <c r="E527" s="2" t="s">
        <v>1367</v>
      </c>
      <c r="F527" s="2" t="s">
        <v>24</v>
      </c>
      <c r="G527" s="2" t="s">
        <v>13</v>
      </c>
      <c r="H527" s="2" t="s">
        <v>14</v>
      </c>
      <c r="I527" s="2">
        <v>22486</v>
      </c>
      <c r="J527" s="2">
        <v>10</v>
      </c>
      <c r="K527" s="2">
        <v>2787.32</v>
      </c>
      <c r="L527" s="2"/>
    </row>
    <row r="528" spans="1:12" x14ac:dyDescent="0.25">
      <c r="A528" s="2" t="s">
        <v>1368</v>
      </c>
      <c r="B528" s="4" t="s">
        <v>1080</v>
      </c>
      <c r="C528" s="2" t="str">
        <f t="shared" si="16"/>
        <v>Mar</v>
      </c>
      <c r="D528" s="2">
        <f t="shared" si="17"/>
        <v>2025</v>
      </c>
      <c r="E528" s="2" t="s">
        <v>1369</v>
      </c>
      <c r="F528" s="2" t="s">
        <v>42</v>
      </c>
      <c r="G528" s="2" t="s">
        <v>19</v>
      </c>
      <c r="H528" s="2" t="s">
        <v>63</v>
      </c>
      <c r="I528" s="2">
        <v>26549.360000000001</v>
      </c>
      <c r="J528" s="2">
        <v>3</v>
      </c>
      <c r="K528" s="2">
        <v>6870.84</v>
      </c>
      <c r="L528" s="2"/>
    </row>
    <row r="529" spans="1:12" x14ac:dyDescent="0.25">
      <c r="A529" s="2" t="s">
        <v>1370</v>
      </c>
      <c r="B529" s="4" t="s">
        <v>440</v>
      </c>
      <c r="C529" s="2" t="str">
        <f t="shared" si="16"/>
        <v>Jan</v>
      </c>
      <c r="D529" s="2">
        <f t="shared" si="17"/>
        <v>2025</v>
      </c>
      <c r="E529" s="2" t="s">
        <v>1371</v>
      </c>
      <c r="F529" s="2" t="s">
        <v>38</v>
      </c>
      <c r="G529" s="2" t="s">
        <v>54</v>
      </c>
      <c r="H529" s="2" t="s">
        <v>55</v>
      </c>
      <c r="I529" s="2">
        <v>12366.96</v>
      </c>
      <c r="J529" s="2">
        <v>1</v>
      </c>
      <c r="K529" s="2">
        <v>1768.89</v>
      </c>
      <c r="L529" s="2"/>
    </row>
    <row r="530" spans="1:12" x14ac:dyDescent="0.25">
      <c r="A530" s="2" t="s">
        <v>1372</v>
      </c>
      <c r="B530" s="4" t="s">
        <v>1373</v>
      </c>
      <c r="C530" s="2" t="str">
        <f t="shared" si="16"/>
        <v>May</v>
      </c>
      <c r="D530" s="2">
        <f t="shared" si="17"/>
        <v>2025</v>
      </c>
      <c r="E530" s="2" t="s">
        <v>1374</v>
      </c>
      <c r="F530" s="2" t="s">
        <v>12</v>
      </c>
      <c r="G530" s="2" t="s">
        <v>25</v>
      </c>
      <c r="H530" s="2" t="s">
        <v>365</v>
      </c>
      <c r="I530" s="2">
        <v>32683.77</v>
      </c>
      <c r="J530" s="2">
        <v>1</v>
      </c>
      <c r="K530" s="2">
        <v>8806.2000000000007</v>
      </c>
      <c r="L530" s="2"/>
    </row>
    <row r="531" spans="1:12" x14ac:dyDescent="0.25">
      <c r="A531" s="2" t="s">
        <v>1375</v>
      </c>
      <c r="B531" s="4" t="s">
        <v>664</v>
      </c>
      <c r="C531" s="2" t="str">
        <f t="shared" si="16"/>
        <v>Aug</v>
      </c>
      <c r="D531" s="2">
        <f t="shared" si="17"/>
        <v>2025</v>
      </c>
      <c r="E531" s="2" t="s">
        <v>1376</v>
      </c>
      <c r="F531" s="2" t="s">
        <v>18</v>
      </c>
      <c r="G531" s="2" t="s">
        <v>25</v>
      </c>
      <c r="H531" s="2" t="s">
        <v>169</v>
      </c>
      <c r="I531" s="2">
        <v>47537.73</v>
      </c>
      <c r="J531" s="2">
        <v>9</v>
      </c>
      <c r="K531" s="2">
        <v>5959.64</v>
      </c>
      <c r="L531" s="2"/>
    </row>
    <row r="532" spans="1:12" x14ac:dyDescent="0.25">
      <c r="A532" s="2" t="s">
        <v>1377</v>
      </c>
      <c r="B532" s="4" t="s">
        <v>1378</v>
      </c>
      <c r="C532" s="2" t="str">
        <f t="shared" si="16"/>
        <v>Aug</v>
      </c>
      <c r="D532" s="2">
        <f t="shared" si="17"/>
        <v>2025</v>
      </c>
      <c r="E532" s="2" t="s">
        <v>1379</v>
      </c>
      <c r="F532" s="2" t="s">
        <v>42</v>
      </c>
      <c r="G532" s="2" t="s">
        <v>19</v>
      </c>
      <c r="H532" s="2" t="s">
        <v>59</v>
      </c>
      <c r="I532" s="2">
        <v>29442.62</v>
      </c>
      <c r="J532" s="2">
        <v>3</v>
      </c>
      <c r="K532" s="2">
        <v>-1360.93</v>
      </c>
      <c r="L532" s="2"/>
    </row>
    <row r="533" spans="1:12" x14ac:dyDescent="0.25">
      <c r="A533" s="2" t="s">
        <v>1380</v>
      </c>
      <c r="B533" s="4" t="s">
        <v>775</v>
      </c>
      <c r="C533" s="2" t="str">
        <f t="shared" si="16"/>
        <v>Sep</v>
      </c>
      <c r="D533" s="2">
        <f t="shared" si="17"/>
        <v>2025</v>
      </c>
      <c r="E533" s="2" t="s">
        <v>1381</v>
      </c>
      <c r="F533" s="2" t="s">
        <v>42</v>
      </c>
      <c r="G533" s="2" t="s">
        <v>25</v>
      </c>
      <c r="H533" s="2" t="s">
        <v>365</v>
      </c>
      <c r="I533" s="2">
        <v>30221.57</v>
      </c>
      <c r="J533" s="2">
        <v>6</v>
      </c>
      <c r="K533" s="2">
        <v>4616.82</v>
      </c>
      <c r="L533" s="2"/>
    </row>
    <row r="534" spans="1:12" x14ac:dyDescent="0.25">
      <c r="A534" s="2" t="s">
        <v>1382</v>
      </c>
      <c r="B534" s="4" t="s">
        <v>156</v>
      </c>
      <c r="C534" s="2" t="str">
        <f t="shared" si="16"/>
        <v>Jun</v>
      </c>
      <c r="D534" s="2">
        <f t="shared" si="17"/>
        <v>2025</v>
      </c>
      <c r="E534" s="2" t="s">
        <v>1383</v>
      </c>
      <c r="F534" s="2" t="s">
        <v>24</v>
      </c>
      <c r="G534" s="2" t="s">
        <v>19</v>
      </c>
      <c r="H534" s="2" t="s">
        <v>101</v>
      </c>
      <c r="I534" s="2">
        <v>31045.09</v>
      </c>
      <c r="J534" s="2">
        <v>8</v>
      </c>
      <c r="K534" s="2">
        <v>4298.12</v>
      </c>
      <c r="L534" s="2"/>
    </row>
    <row r="535" spans="1:12" x14ac:dyDescent="0.25">
      <c r="A535" s="2" t="s">
        <v>1384</v>
      </c>
      <c r="B535" s="4" t="s">
        <v>177</v>
      </c>
      <c r="C535" s="2" t="str">
        <f t="shared" si="16"/>
        <v>Jun</v>
      </c>
      <c r="D535" s="2">
        <f t="shared" si="17"/>
        <v>2025</v>
      </c>
      <c r="E535" s="2" t="s">
        <v>1385</v>
      </c>
      <c r="F535" s="2" t="s">
        <v>97</v>
      </c>
      <c r="G535" s="2" t="s">
        <v>25</v>
      </c>
      <c r="H535" s="2" t="s">
        <v>169</v>
      </c>
      <c r="I535" s="2">
        <v>36239.14</v>
      </c>
      <c r="J535" s="2">
        <v>2</v>
      </c>
      <c r="K535" s="2">
        <v>2130.8200000000002</v>
      </c>
      <c r="L535" s="2"/>
    </row>
    <row r="536" spans="1:12" x14ac:dyDescent="0.25">
      <c r="A536" s="2" t="s">
        <v>1386</v>
      </c>
      <c r="B536" s="4" t="s">
        <v>683</v>
      </c>
      <c r="C536" s="2" t="str">
        <f t="shared" si="16"/>
        <v>Dec</v>
      </c>
      <c r="D536" s="2">
        <f t="shared" si="17"/>
        <v>2025</v>
      </c>
      <c r="E536" s="2" t="s">
        <v>1387</v>
      </c>
      <c r="F536" s="2" t="s">
        <v>12</v>
      </c>
      <c r="G536" s="2" t="s">
        <v>19</v>
      </c>
      <c r="H536" s="2" t="s">
        <v>101</v>
      </c>
      <c r="I536" s="2">
        <v>8611.48</v>
      </c>
      <c r="J536" s="2">
        <v>3</v>
      </c>
      <c r="K536" s="2">
        <v>825.1</v>
      </c>
      <c r="L536" s="2"/>
    </row>
    <row r="537" spans="1:12" x14ac:dyDescent="0.25">
      <c r="A537" s="2" t="s">
        <v>1388</v>
      </c>
      <c r="B537" s="4" t="s">
        <v>1389</v>
      </c>
      <c r="C537" s="2" t="str">
        <f t="shared" si="16"/>
        <v>Mar</v>
      </c>
      <c r="D537" s="2">
        <f t="shared" si="17"/>
        <v>2025</v>
      </c>
      <c r="E537" s="2" t="s">
        <v>1390</v>
      </c>
      <c r="F537" s="2" t="s">
        <v>12</v>
      </c>
      <c r="G537" s="2" t="s">
        <v>54</v>
      </c>
      <c r="H537" s="2" t="s">
        <v>138</v>
      </c>
      <c r="I537" s="2">
        <v>27581.33</v>
      </c>
      <c r="J537" s="2">
        <v>5</v>
      </c>
      <c r="K537" s="2">
        <v>414.43</v>
      </c>
      <c r="L537" s="2"/>
    </row>
    <row r="538" spans="1:12" x14ac:dyDescent="0.25">
      <c r="A538" s="2" t="s">
        <v>1391</v>
      </c>
      <c r="B538" s="4" t="s">
        <v>1181</v>
      </c>
      <c r="C538" s="2" t="str">
        <f t="shared" si="16"/>
        <v>Mar</v>
      </c>
      <c r="D538" s="2">
        <f t="shared" si="17"/>
        <v>2025</v>
      </c>
      <c r="E538" s="2" t="s">
        <v>1392</v>
      </c>
      <c r="F538" s="2" t="s">
        <v>12</v>
      </c>
      <c r="G538" s="2" t="s">
        <v>13</v>
      </c>
      <c r="H538" s="2" t="s">
        <v>73</v>
      </c>
      <c r="I538" s="2">
        <v>18254.080000000002</v>
      </c>
      <c r="J538" s="2">
        <v>4</v>
      </c>
      <c r="K538" s="2">
        <v>2146.2800000000002</v>
      </c>
      <c r="L538" s="2"/>
    </row>
    <row r="539" spans="1:12" x14ac:dyDescent="0.25">
      <c r="A539" s="2" t="s">
        <v>1393</v>
      </c>
      <c r="B539" s="4" t="s">
        <v>275</v>
      </c>
      <c r="C539" s="2" t="str">
        <f t="shared" si="16"/>
        <v>Sep</v>
      </c>
      <c r="D539" s="2">
        <f t="shared" si="17"/>
        <v>2025</v>
      </c>
      <c r="E539" s="2" t="s">
        <v>1394</v>
      </c>
      <c r="F539" s="2" t="s">
        <v>34</v>
      </c>
      <c r="G539" s="2" t="s">
        <v>13</v>
      </c>
      <c r="H539" s="2" t="s">
        <v>121</v>
      </c>
      <c r="I539" s="2">
        <v>25786.01</v>
      </c>
      <c r="J539" s="2">
        <v>4</v>
      </c>
      <c r="K539" s="2">
        <v>2198.9499999999998</v>
      </c>
      <c r="L539" s="2"/>
    </row>
    <row r="540" spans="1:12" x14ac:dyDescent="0.25">
      <c r="A540" s="2" t="s">
        <v>1395</v>
      </c>
      <c r="B540" s="4" t="s">
        <v>86</v>
      </c>
      <c r="C540" s="2" t="str">
        <f t="shared" si="16"/>
        <v>Feb</v>
      </c>
      <c r="D540" s="2">
        <f t="shared" si="17"/>
        <v>2025</v>
      </c>
      <c r="E540" s="2" t="s">
        <v>1396</v>
      </c>
      <c r="F540" s="2" t="s">
        <v>38</v>
      </c>
      <c r="G540" s="2" t="s">
        <v>13</v>
      </c>
      <c r="H540" s="2" t="s">
        <v>14</v>
      </c>
      <c r="I540" s="2">
        <v>34471.129999999997</v>
      </c>
      <c r="J540" s="2">
        <v>3</v>
      </c>
      <c r="K540" s="2">
        <v>970.49</v>
      </c>
      <c r="L540" s="2"/>
    </row>
    <row r="541" spans="1:12" x14ac:dyDescent="0.25">
      <c r="A541" s="2" t="s">
        <v>1397</v>
      </c>
      <c r="B541" s="4" t="s">
        <v>417</v>
      </c>
      <c r="C541" s="2" t="str">
        <f t="shared" si="16"/>
        <v>Jul</v>
      </c>
      <c r="D541" s="2">
        <f t="shared" si="17"/>
        <v>2025</v>
      </c>
      <c r="E541" s="2" t="s">
        <v>1398</v>
      </c>
      <c r="F541" s="2" t="s">
        <v>12</v>
      </c>
      <c r="G541" s="2" t="s">
        <v>25</v>
      </c>
      <c r="H541" s="2" t="s">
        <v>154</v>
      </c>
      <c r="I541" s="2">
        <v>36790.97</v>
      </c>
      <c r="J541" s="2">
        <v>3</v>
      </c>
      <c r="K541" s="2">
        <v>-1041.1300000000001</v>
      </c>
      <c r="L541" s="2"/>
    </row>
    <row r="542" spans="1:12" x14ac:dyDescent="0.25">
      <c r="A542" s="2" t="s">
        <v>1399</v>
      </c>
      <c r="B542" s="4" t="s">
        <v>1362</v>
      </c>
      <c r="C542" s="2" t="str">
        <f t="shared" si="16"/>
        <v>Oct</v>
      </c>
      <c r="D542" s="2">
        <f t="shared" si="17"/>
        <v>2025</v>
      </c>
      <c r="E542" s="2" t="s">
        <v>1400</v>
      </c>
      <c r="F542" s="2" t="s">
        <v>24</v>
      </c>
      <c r="G542" s="2" t="s">
        <v>54</v>
      </c>
      <c r="H542" s="2" t="s">
        <v>111</v>
      </c>
      <c r="I542" s="2">
        <v>8490.25</v>
      </c>
      <c r="J542" s="2">
        <v>10</v>
      </c>
      <c r="K542" s="2">
        <v>525.25</v>
      </c>
      <c r="L542" s="2"/>
    </row>
    <row r="543" spans="1:12" x14ac:dyDescent="0.25">
      <c r="A543" s="2" t="s">
        <v>1401</v>
      </c>
      <c r="B543" s="4" t="s">
        <v>180</v>
      </c>
      <c r="C543" s="2" t="str">
        <f t="shared" si="16"/>
        <v>Jan</v>
      </c>
      <c r="D543" s="2">
        <f t="shared" si="17"/>
        <v>2025</v>
      </c>
      <c r="E543" s="2" t="s">
        <v>1402</v>
      </c>
      <c r="F543" s="2" t="s">
        <v>18</v>
      </c>
      <c r="G543" s="2" t="s">
        <v>13</v>
      </c>
      <c r="H543" s="2" t="s">
        <v>77</v>
      </c>
      <c r="I543" s="2">
        <v>6486.73</v>
      </c>
      <c r="J543" s="2">
        <v>1</v>
      </c>
      <c r="K543" s="2">
        <v>99.26</v>
      </c>
      <c r="L543" s="2"/>
    </row>
    <row r="544" spans="1:12" x14ac:dyDescent="0.25">
      <c r="A544" s="2" t="s">
        <v>1403</v>
      </c>
      <c r="B544" s="4" t="s">
        <v>334</v>
      </c>
      <c r="C544" s="2" t="str">
        <f t="shared" si="16"/>
        <v>Oct</v>
      </c>
      <c r="D544" s="2">
        <f t="shared" si="17"/>
        <v>2025</v>
      </c>
      <c r="E544" s="2" t="s">
        <v>1404</v>
      </c>
      <c r="F544" s="2" t="s">
        <v>38</v>
      </c>
      <c r="G544" s="2" t="s">
        <v>13</v>
      </c>
      <c r="H544" s="2" t="s">
        <v>77</v>
      </c>
      <c r="I544" s="2">
        <v>5555.44</v>
      </c>
      <c r="J544" s="2">
        <v>5</v>
      </c>
      <c r="K544" s="2">
        <v>-196.43</v>
      </c>
      <c r="L544" s="2"/>
    </row>
    <row r="545" spans="1:12" x14ac:dyDescent="0.25">
      <c r="A545" s="2" t="s">
        <v>1405</v>
      </c>
      <c r="B545" s="4" t="s">
        <v>180</v>
      </c>
      <c r="C545" s="2" t="str">
        <f t="shared" si="16"/>
        <v>Jan</v>
      </c>
      <c r="D545" s="2">
        <f t="shared" si="17"/>
        <v>2025</v>
      </c>
      <c r="E545" s="2" t="s">
        <v>1406</v>
      </c>
      <c r="F545" s="2" t="s">
        <v>12</v>
      </c>
      <c r="G545" s="2" t="s">
        <v>25</v>
      </c>
      <c r="H545" s="2" t="s">
        <v>365</v>
      </c>
      <c r="I545" s="2">
        <v>43011.54</v>
      </c>
      <c r="J545" s="2">
        <v>10</v>
      </c>
      <c r="K545" s="2">
        <v>2980.19</v>
      </c>
      <c r="L545" s="2"/>
    </row>
    <row r="546" spans="1:12" x14ac:dyDescent="0.25">
      <c r="A546" s="2" t="s">
        <v>1407</v>
      </c>
      <c r="B546" s="4" t="s">
        <v>486</v>
      </c>
      <c r="C546" s="2" t="str">
        <f t="shared" si="16"/>
        <v>Feb</v>
      </c>
      <c r="D546" s="2">
        <f t="shared" si="17"/>
        <v>2025</v>
      </c>
      <c r="E546" s="2" t="s">
        <v>1408</v>
      </c>
      <c r="F546" s="2" t="s">
        <v>12</v>
      </c>
      <c r="G546" s="2" t="s">
        <v>25</v>
      </c>
      <c r="H546" s="2" t="s">
        <v>365</v>
      </c>
      <c r="I546" s="2">
        <v>10408.07</v>
      </c>
      <c r="J546" s="2">
        <v>6</v>
      </c>
      <c r="K546" s="2">
        <v>463.17</v>
      </c>
      <c r="L546" s="2"/>
    </row>
    <row r="547" spans="1:12" x14ac:dyDescent="0.25">
      <c r="A547" s="2" t="s">
        <v>1409</v>
      </c>
      <c r="B547" s="4" t="s">
        <v>314</v>
      </c>
      <c r="C547" s="2" t="str">
        <f t="shared" si="16"/>
        <v>May</v>
      </c>
      <c r="D547" s="2">
        <f t="shared" si="17"/>
        <v>2025</v>
      </c>
      <c r="E547" s="2" t="s">
        <v>1410</v>
      </c>
      <c r="F547" s="2" t="s">
        <v>42</v>
      </c>
      <c r="G547" s="2" t="s">
        <v>19</v>
      </c>
      <c r="H547" s="2" t="s">
        <v>20</v>
      </c>
      <c r="I547" s="2">
        <v>21220.82</v>
      </c>
      <c r="J547" s="2">
        <v>6</v>
      </c>
      <c r="K547" s="2">
        <v>386.15</v>
      </c>
      <c r="L547" s="2"/>
    </row>
    <row r="548" spans="1:12" x14ac:dyDescent="0.25">
      <c r="A548" s="2" t="s">
        <v>1411</v>
      </c>
      <c r="B548" s="4" t="s">
        <v>664</v>
      </c>
      <c r="C548" s="2" t="str">
        <f t="shared" si="16"/>
        <v>Aug</v>
      </c>
      <c r="D548" s="2">
        <f t="shared" si="17"/>
        <v>2025</v>
      </c>
      <c r="E548" s="2" t="s">
        <v>1412</v>
      </c>
      <c r="F548" s="2" t="s">
        <v>12</v>
      </c>
      <c r="G548" s="2" t="s">
        <v>25</v>
      </c>
      <c r="H548" s="2" t="s">
        <v>26</v>
      </c>
      <c r="I548" s="2">
        <v>26270.68</v>
      </c>
      <c r="J548" s="2">
        <v>1</v>
      </c>
      <c r="K548" s="2">
        <v>-574.54999999999995</v>
      </c>
      <c r="L548" s="2"/>
    </row>
    <row r="549" spans="1:12" x14ac:dyDescent="0.25">
      <c r="A549" s="2" t="s">
        <v>1413</v>
      </c>
      <c r="B549" s="4" t="s">
        <v>563</v>
      </c>
      <c r="C549" s="2" t="str">
        <f t="shared" si="16"/>
        <v>Oct</v>
      </c>
      <c r="D549" s="2">
        <f t="shared" si="17"/>
        <v>2025</v>
      </c>
      <c r="E549" s="2" t="s">
        <v>1414</v>
      </c>
      <c r="F549" s="2" t="s">
        <v>42</v>
      </c>
      <c r="G549" s="2" t="s">
        <v>19</v>
      </c>
      <c r="H549" s="2" t="s">
        <v>20</v>
      </c>
      <c r="I549" s="2">
        <v>19042.04</v>
      </c>
      <c r="J549" s="2">
        <v>1</v>
      </c>
      <c r="K549" s="2">
        <v>1843.47</v>
      </c>
      <c r="L549" s="2"/>
    </row>
    <row r="550" spans="1:12" x14ac:dyDescent="0.25">
      <c r="A550" s="2" t="s">
        <v>1415</v>
      </c>
      <c r="B550" s="4" t="s">
        <v>326</v>
      </c>
      <c r="C550" s="2" t="str">
        <f t="shared" si="16"/>
        <v>May</v>
      </c>
      <c r="D550" s="2">
        <f t="shared" si="17"/>
        <v>2025</v>
      </c>
      <c r="E550" s="2" t="s">
        <v>1416</v>
      </c>
      <c r="F550" s="2" t="s">
        <v>38</v>
      </c>
      <c r="G550" s="2" t="s">
        <v>19</v>
      </c>
      <c r="H550" s="2" t="s">
        <v>20</v>
      </c>
      <c r="I550" s="2">
        <v>36080.04</v>
      </c>
      <c r="J550" s="2">
        <v>5</v>
      </c>
      <c r="K550" s="2">
        <v>-260.93</v>
      </c>
      <c r="L550" s="2"/>
    </row>
    <row r="551" spans="1:12" x14ac:dyDescent="0.25">
      <c r="A551" s="2" t="s">
        <v>1417</v>
      </c>
      <c r="B551" s="4" t="s">
        <v>1310</v>
      </c>
      <c r="C551" s="2" t="str">
        <f t="shared" si="16"/>
        <v>Mar</v>
      </c>
      <c r="D551" s="2">
        <f t="shared" si="17"/>
        <v>2025</v>
      </c>
      <c r="E551" s="2" t="s">
        <v>1418</v>
      </c>
      <c r="F551" s="2" t="s">
        <v>42</v>
      </c>
      <c r="G551" s="2" t="s">
        <v>25</v>
      </c>
      <c r="H551" s="2" t="s">
        <v>169</v>
      </c>
      <c r="I551" s="2">
        <v>18589.97</v>
      </c>
      <c r="J551" s="2">
        <v>4</v>
      </c>
      <c r="K551" s="2">
        <v>4086.49</v>
      </c>
      <c r="L551" s="2"/>
    </row>
    <row r="552" spans="1:12" x14ac:dyDescent="0.25">
      <c r="A552" s="2" t="s">
        <v>1419</v>
      </c>
      <c r="B552" s="4" t="s">
        <v>1420</v>
      </c>
      <c r="C552" s="2" t="str">
        <f t="shared" si="16"/>
        <v>Apr</v>
      </c>
      <c r="D552" s="2">
        <f t="shared" si="17"/>
        <v>2025</v>
      </c>
      <c r="E552" s="2" t="s">
        <v>1421</v>
      </c>
      <c r="F552" s="2" t="s">
        <v>12</v>
      </c>
      <c r="G552" s="2" t="s">
        <v>19</v>
      </c>
      <c r="H552" s="2" t="s">
        <v>101</v>
      </c>
      <c r="I552" s="2">
        <v>25086.6</v>
      </c>
      <c r="J552" s="2">
        <v>4</v>
      </c>
      <c r="K552" s="2">
        <v>2136.2800000000002</v>
      </c>
      <c r="L552" s="2"/>
    </row>
    <row r="553" spans="1:12" x14ac:dyDescent="0.25">
      <c r="A553" s="2" t="s">
        <v>1422</v>
      </c>
      <c r="B553" s="4" t="s">
        <v>156</v>
      </c>
      <c r="C553" s="2" t="str">
        <f t="shared" si="16"/>
        <v>Jun</v>
      </c>
      <c r="D553" s="2">
        <f t="shared" si="17"/>
        <v>2025</v>
      </c>
      <c r="E553" s="2" t="s">
        <v>1423</v>
      </c>
      <c r="F553" s="2" t="s">
        <v>18</v>
      </c>
      <c r="G553" s="2" t="s">
        <v>13</v>
      </c>
      <c r="H553" s="2" t="s">
        <v>73</v>
      </c>
      <c r="I553" s="2">
        <v>17713</v>
      </c>
      <c r="J553" s="2">
        <v>6</v>
      </c>
      <c r="K553" s="2">
        <v>2278.2600000000002</v>
      </c>
      <c r="L553" s="2"/>
    </row>
    <row r="554" spans="1:12" x14ac:dyDescent="0.25">
      <c r="A554" s="2" t="s">
        <v>1424</v>
      </c>
      <c r="B554" s="4" t="s">
        <v>972</v>
      </c>
      <c r="C554" s="2" t="str">
        <f t="shared" si="16"/>
        <v>Dec</v>
      </c>
      <c r="D554" s="2">
        <f t="shared" si="17"/>
        <v>2025</v>
      </c>
      <c r="E554" s="2" t="s">
        <v>1425</v>
      </c>
      <c r="F554" s="2" t="s">
        <v>18</v>
      </c>
      <c r="G554" s="2" t="s">
        <v>25</v>
      </c>
      <c r="H554" s="2" t="s">
        <v>47</v>
      </c>
      <c r="I554" s="2">
        <v>29717.61</v>
      </c>
      <c r="J554" s="2">
        <v>7</v>
      </c>
      <c r="K554" s="2">
        <v>2941.46</v>
      </c>
      <c r="L554" s="2"/>
    </row>
    <row r="555" spans="1:12" x14ac:dyDescent="0.25">
      <c r="A555" s="2" t="s">
        <v>1426</v>
      </c>
      <c r="B555" s="4" t="s">
        <v>82</v>
      </c>
      <c r="C555" s="2" t="str">
        <f t="shared" si="16"/>
        <v>Jun</v>
      </c>
      <c r="D555" s="2">
        <f t="shared" si="17"/>
        <v>2025</v>
      </c>
      <c r="E555" s="2" t="s">
        <v>1427</v>
      </c>
      <c r="F555" s="2" t="s">
        <v>12</v>
      </c>
      <c r="G555" s="2" t="s">
        <v>13</v>
      </c>
      <c r="H555" s="2" t="s">
        <v>14</v>
      </c>
      <c r="I555" s="2">
        <v>7398.58</v>
      </c>
      <c r="J555" s="2">
        <v>2</v>
      </c>
      <c r="K555" s="2">
        <v>1653.35</v>
      </c>
      <c r="L555" s="2"/>
    </row>
    <row r="556" spans="1:12" x14ac:dyDescent="0.25">
      <c r="A556" s="2" t="s">
        <v>1428</v>
      </c>
      <c r="B556" s="4" t="s">
        <v>287</v>
      </c>
      <c r="C556" s="2" t="str">
        <f t="shared" si="16"/>
        <v>Oct</v>
      </c>
      <c r="D556" s="2">
        <f t="shared" si="17"/>
        <v>2025</v>
      </c>
      <c r="E556" s="2" t="s">
        <v>1429</v>
      </c>
      <c r="F556" s="2" t="s">
        <v>42</v>
      </c>
      <c r="G556" s="2" t="s">
        <v>19</v>
      </c>
      <c r="H556" s="2" t="s">
        <v>20</v>
      </c>
      <c r="I556" s="2">
        <v>11373.31</v>
      </c>
      <c r="J556" s="2">
        <v>4</v>
      </c>
      <c r="K556" s="2">
        <v>1883.8</v>
      </c>
      <c r="L556" s="2"/>
    </row>
    <row r="557" spans="1:12" x14ac:dyDescent="0.25">
      <c r="A557" s="2" t="s">
        <v>1430</v>
      </c>
      <c r="B557" s="4" t="s">
        <v>1431</v>
      </c>
      <c r="C557" s="2" t="str">
        <f t="shared" si="16"/>
        <v>Oct</v>
      </c>
      <c r="D557" s="2">
        <f t="shared" si="17"/>
        <v>2025</v>
      </c>
      <c r="E557" s="2" t="s">
        <v>1432</v>
      </c>
      <c r="F557" s="2" t="s">
        <v>38</v>
      </c>
      <c r="G557" s="2" t="s">
        <v>19</v>
      </c>
      <c r="H557" s="2" t="s">
        <v>63</v>
      </c>
      <c r="I557" s="2">
        <v>49168.51</v>
      </c>
      <c r="J557" s="2">
        <v>6</v>
      </c>
      <c r="K557" s="2">
        <v>4748.33</v>
      </c>
      <c r="L557" s="2"/>
    </row>
    <row r="558" spans="1:12" x14ac:dyDescent="0.25">
      <c r="A558" s="2" t="s">
        <v>1433</v>
      </c>
      <c r="B558" s="4" t="s">
        <v>592</v>
      </c>
      <c r="C558" s="2" t="str">
        <f t="shared" si="16"/>
        <v>Apr</v>
      </c>
      <c r="D558" s="2">
        <f t="shared" si="17"/>
        <v>2025</v>
      </c>
      <c r="E558" s="2" t="s">
        <v>1434</v>
      </c>
      <c r="F558" s="2" t="s">
        <v>42</v>
      </c>
      <c r="G558" s="2" t="s">
        <v>13</v>
      </c>
      <c r="H558" s="2" t="s">
        <v>73</v>
      </c>
      <c r="I558" s="2">
        <v>47028.61</v>
      </c>
      <c r="J558" s="2">
        <v>4</v>
      </c>
      <c r="K558" s="2">
        <v>9343.73</v>
      </c>
      <c r="L558" s="2"/>
    </row>
    <row r="559" spans="1:12" x14ac:dyDescent="0.25">
      <c r="A559" s="2" t="s">
        <v>1435</v>
      </c>
      <c r="B559" s="4" t="s">
        <v>417</v>
      </c>
      <c r="C559" s="2" t="str">
        <f t="shared" si="16"/>
        <v>Jul</v>
      </c>
      <c r="D559" s="2">
        <f t="shared" si="17"/>
        <v>2025</v>
      </c>
      <c r="E559" s="2" t="s">
        <v>1436</v>
      </c>
      <c r="F559" s="2" t="s">
        <v>34</v>
      </c>
      <c r="G559" s="2" t="s">
        <v>54</v>
      </c>
      <c r="H559" s="2" t="s">
        <v>190</v>
      </c>
      <c r="I559" s="2">
        <v>32178.85</v>
      </c>
      <c r="J559" s="2">
        <v>6</v>
      </c>
      <c r="K559" s="2">
        <v>8129.8</v>
      </c>
      <c r="L559" s="2"/>
    </row>
    <row r="560" spans="1:12" x14ac:dyDescent="0.25">
      <c r="A560" s="2" t="s">
        <v>1437</v>
      </c>
      <c r="B560" s="4" t="s">
        <v>492</v>
      </c>
      <c r="C560" s="2" t="str">
        <f t="shared" si="16"/>
        <v>Jul</v>
      </c>
      <c r="D560" s="2">
        <f t="shared" si="17"/>
        <v>2025</v>
      </c>
      <c r="E560" s="2" t="s">
        <v>1438</v>
      </c>
      <c r="F560" s="2" t="s">
        <v>24</v>
      </c>
      <c r="G560" s="2" t="s">
        <v>25</v>
      </c>
      <c r="H560" s="2" t="s">
        <v>47</v>
      </c>
      <c r="I560" s="2">
        <v>14184.56</v>
      </c>
      <c r="J560" s="2">
        <v>9</v>
      </c>
      <c r="K560" s="2">
        <v>637.20000000000005</v>
      </c>
      <c r="L560" s="2"/>
    </row>
    <row r="561" spans="1:12" x14ac:dyDescent="0.25">
      <c r="A561" s="2" t="s">
        <v>1439</v>
      </c>
      <c r="B561" s="4" t="s">
        <v>1440</v>
      </c>
      <c r="C561" s="2" t="str">
        <f t="shared" si="16"/>
        <v>Nov</v>
      </c>
      <c r="D561" s="2">
        <f t="shared" si="17"/>
        <v>2025</v>
      </c>
      <c r="E561" s="2" t="s">
        <v>1441</v>
      </c>
      <c r="F561" s="2" t="s">
        <v>42</v>
      </c>
      <c r="G561" s="2" t="s">
        <v>19</v>
      </c>
      <c r="H561" s="2" t="s">
        <v>59</v>
      </c>
      <c r="I561" s="2">
        <v>15965.95</v>
      </c>
      <c r="J561" s="2">
        <v>8</v>
      </c>
      <c r="K561" s="2">
        <v>2953.9</v>
      </c>
      <c r="L561" s="2"/>
    </row>
    <row r="562" spans="1:12" x14ac:dyDescent="0.25">
      <c r="A562" s="2" t="s">
        <v>1442</v>
      </c>
      <c r="B562" s="4" t="s">
        <v>1280</v>
      </c>
      <c r="C562" s="2" t="str">
        <f t="shared" si="16"/>
        <v>Jun</v>
      </c>
      <c r="D562" s="2">
        <f t="shared" si="17"/>
        <v>2025</v>
      </c>
      <c r="E562" s="2" t="s">
        <v>1443</v>
      </c>
      <c r="F562" s="2" t="s">
        <v>38</v>
      </c>
      <c r="G562" s="2" t="s">
        <v>25</v>
      </c>
      <c r="H562" s="2" t="s">
        <v>365</v>
      </c>
      <c r="I562" s="2">
        <v>28570.28</v>
      </c>
      <c r="J562" s="2">
        <v>7</v>
      </c>
      <c r="K562" s="2">
        <v>4712.43</v>
      </c>
      <c r="L562" s="2"/>
    </row>
    <row r="563" spans="1:12" x14ac:dyDescent="0.25">
      <c r="A563" s="2" t="s">
        <v>1444</v>
      </c>
      <c r="B563" s="4" t="s">
        <v>140</v>
      </c>
      <c r="C563" s="2" t="str">
        <f t="shared" si="16"/>
        <v>Jan</v>
      </c>
      <c r="D563" s="2">
        <f t="shared" si="17"/>
        <v>2025</v>
      </c>
      <c r="E563" s="2" t="s">
        <v>1445</v>
      </c>
      <c r="F563" s="2" t="s">
        <v>97</v>
      </c>
      <c r="G563" s="2" t="s">
        <v>54</v>
      </c>
      <c r="H563" s="2" t="s">
        <v>55</v>
      </c>
      <c r="I563" s="2">
        <v>14658.04</v>
      </c>
      <c r="J563" s="2">
        <v>6</v>
      </c>
      <c r="K563" s="2">
        <v>2751.93</v>
      </c>
      <c r="L563" s="2"/>
    </row>
    <row r="564" spans="1:12" x14ac:dyDescent="0.25">
      <c r="A564" s="2" t="s">
        <v>1446</v>
      </c>
      <c r="B564" s="4" t="s">
        <v>417</v>
      </c>
      <c r="C564" s="2" t="str">
        <f t="shared" si="16"/>
        <v>Jul</v>
      </c>
      <c r="D564" s="2">
        <f t="shared" si="17"/>
        <v>2025</v>
      </c>
      <c r="E564" s="2" t="s">
        <v>1447</v>
      </c>
      <c r="F564" s="2" t="s">
        <v>97</v>
      </c>
      <c r="G564" s="2" t="s">
        <v>13</v>
      </c>
      <c r="H564" s="2" t="s">
        <v>121</v>
      </c>
      <c r="I564" s="2">
        <v>11892.49</v>
      </c>
      <c r="J564" s="2">
        <v>6</v>
      </c>
      <c r="K564" s="2">
        <v>3462.26</v>
      </c>
      <c r="L564" s="2"/>
    </row>
    <row r="565" spans="1:12" x14ac:dyDescent="0.25">
      <c r="A565" s="2" t="s">
        <v>1448</v>
      </c>
      <c r="B565" s="4" t="s">
        <v>36</v>
      </c>
      <c r="C565" s="2" t="str">
        <f t="shared" si="16"/>
        <v>Sep</v>
      </c>
      <c r="D565" s="2">
        <f t="shared" si="17"/>
        <v>2025</v>
      </c>
      <c r="E565" s="2" t="s">
        <v>1449</v>
      </c>
      <c r="F565" s="2" t="s">
        <v>97</v>
      </c>
      <c r="G565" s="2" t="s">
        <v>25</v>
      </c>
      <c r="H565" s="2" t="s">
        <v>26</v>
      </c>
      <c r="I565" s="2">
        <v>12767.31</v>
      </c>
      <c r="J565" s="2">
        <v>10</v>
      </c>
      <c r="K565" s="2">
        <v>2741.9</v>
      </c>
      <c r="L565" s="2"/>
    </row>
    <row r="566" spans="1:12" x14ac:dyDescent="0.25">
      <c r="A566" s="2" t="s">
        <v>1450</v>
      </c>
      <c r="B566" s="4" t="s">
        <v>702</v>
      </c>
      <c r="C566" s="2" t="str">
        <f t="shared" si="16"/>
        <v>Sep</v>
      </c>
      <c r="D566" s="2">
        <f t="shared" si="17"/>
        <v>2025</v>
      </c>
      <c r="E566" s="2" t="s">
        <v>1451</v>
      </c>
      <c r="F566" s="2" t="s">
        <v>24</v>
      </c>
      <c r="G566" s="2" t="s">
        <v>19</v>
      </c>
      <c r="H566" s="2" t="s">
        <v>101</v>
      </c>
      <c r="I566" s="2">
        <v>31309.01</v>
      </c>
      <c r="J566" s="2">
        <v>3</v>
      </c>
      <c r="K566" s="2">
        <v>4427.76</v>
      </c>
      <c r="L566" s="2"/>
    </row>
    <row r="567" spans="1:12" x14ac:dyDescent="0.25">
      <c r="A567" s="2" t="s">
        <v>1452</v>
      </c>
      <c r="B567" s="4" t="s">
        <v>450</v>
      </c>
      <c r="C567" s="2" t="str">
        <f t="shared" si="16"/>
        <v>Sep</v>
      </c>
      <c r="D567" s="2">
        <f t="shared" si="17"/>
        <v>2025</v>
      </c>
      <c r="E567" s="2" t="s">
        <v>1453</v>
      </c>
      <c r="F567" s="2" t="s">
        <v>24</v>
      </c>
      <c r="G567" s="2" t="s">
        <v>25</v>
      </c>
      <c r="H567" s="2" t="s">
        <v>154</v>
      </c>
      <c r="I567" s="2">
        <v>23596.83</v>
      </c>
      <c r="J567" s="2">
        <v>1</v>
      </c>
      <c r="K567" s="2">
        <v>492.33</v>
      </c>
      <c r="L567" s="2"/>
    </row>
    <row r="568" spans="1:12" x14ac:dyDescent="0.25">
      <c r="A568" s="2" t="s">
        <v>1454</v>
      </c>
      <c r="B568" s="4" t="s">
        <v>425</v>
      </c>
      <c r="C568" s="2" t="str">
        <f t="shared" si="16"/>
        <v>Aug</v>
      </c>
      <c r="D568" s="2">
        <f t="shared" si="17"/>
        <v>2025</v>
      </c>
      <c r="E568" s="2" t="s">
        <v>1455</v>
      </c>
      <c r="F568" s="2" t="s">
        <v>34</v>
      </c>
      <c r="G568" s="2" t="s">
        <v>19</v>
      </c>
      <c r="H568" s="2" t="s">
        <v>20</v>
      </c>
      <c r="I568" s="2">
        <v>49833.07</v>
      </c>
      <c r="J568" s="2">
        <v>7</v>
      </c>
      <c r="K568" s="2">
        <v>5477.95</v>
      </c>
      <c r="L568" s="2"/>
    </row>
    <row r="569" spans="1:12" x14ac:dyDescent="0.25">
      <c r="A569" s="2" t="s">
        <v>1456</v>
      </c>
      <c r="B569" s="4" t="s">
        <v>1440</v>
      </c>
      <c r="C569" s="2" t="str">
        <f t="shared" si="16"/>
        <v>Nov</v>
      </c>
      <c r="D569" s="2">
        <f t="shared" si="17"/>
        <v>2025</v>
      </c>
      <c r="E569" s="2" t="s">
        <v>1457</v>
      </c>
      <c r="F569" s="2" t="s">
        <v>18</v>
      </c>
      <c r="G569" s="2" t="s">
        <v>54</v>
      </c>
      <c r="H569" s="2" t="s">
        <v>84</v>
      </c>
      <c r="I569" s="2">
        <v>10887.79</v>
      </c>
      <c r="J569" s="2">
        <v>10</v>
      </c>
      <c r="K569" s="2">
        <v>1461.19</v>
      </c>
      <c r="L569" s="2"/>
    </row>
    <row r="570" spans="1:12" x14ac:dyDescent="0.25">
      <c r="A570" s="2" t="s">
        <v>1458</v>
      </c>
      <c r="B570" s="4" t="s">
        <v>1080</v>
      </c>
      <c r="C570" s="2" t="str">
        <f t="shared" si="16"/>
        <v>Mar</v>
      </c>
      <c r="D570" s="2">
        <f t="shared" si="17"/>
        <v>2025</v>
      </c>
      <c r="E570" s="2" t="s">
        <v>1459</v>
      </c>
      <c r="F570" s="2" t="s">
        <v>97</v>
      </c>
      <c r="G570" s="2" t="s">
        <v>54</v>
      </c>
      <c r="H570" s="2" t="s">
        <v>55</v>
      </c>
      <c r="I570" s="2">
        <v>34336.81</v>
      </c>
      <c r="J570" s="2">
        <v>5</v>
      </c>
      <c r="K570" s="2">
        <v>-1295.82</v>
      </c>
      <c r="L570" s="2"/>
    </row>
    <row r="571" spans="1:12" x14ac:dyDescent="0.25">
      <c r="A571" s="2" t="s">
        <v>1460</v>
      </c>
      <c r="B571" s="4" t="s">
        <v>707</v>
      </c>
      <c r="C571" s="2" t="str">
        <f t="shared" si="16"/>
        <v>Sep</v>
      </c>
      <c r="D571" s="2">
        <f t="shared" si="17"/>
        <v>2025</v>
      </c>
      <c r="E571" s="2" t="s">
        <v>1461</v>
      </c>
      <c r="F571" s="2" t="s">
        <v>38</v>
      </c>
      <c r="G571" s="2" t="s">
        <v>13</v>
      </c>
      <c r="H571" s="2" t="s">
        <v>30</v>
      </c>
      <c r="I571" s="2">
        <v>34896.589999999997</v>
      </c>
      <c r="J571" s="2">
        <v>5</v>
      </c>
      <c r="K571" s="2">
        <v>8419.8799999999992</v>
      </c>
      <c r="L571" s="2"/>
    </row>
    <row r="572" spans="1:12" x14ac:dyDescent="0.25">
      <c r="A572" s="2" t="s">
        <v>1462</v>
      </c>
      <c r="B572" s="4" t="s">
        <v>526</v>
      </c>
      <c r="C572" s="2" t="str">
        <f t="shared" si="16"/>
        <v>Jun</v>
      </c>
      <c r="D572" s="2">
        <f t="shared" si="17"/>
        <v>2025</v>
      </c>
      <c r="E572" s="2" t="s">
        <v>1463</v>
      </c>
      <c r="F572" s="2" t="s">
        <v>12</v>
      </c>
      <c r="G572" s="2" t="s">
        <v>19</v>
      </c>
      <c r="H572" s="2" t="s">
        <v>20</v>
      </c>
      <c r="I572" s="2">
        <v>31103.33</v>
      </c>
      <c r="J572" s="2">
        <v>8</v>
      </c>
      <c r="K572" s="2">
        <v>4748.41</v>
      </c>
      <c r="L572" s="2"/>
    </row>
    <row r="573" spans="1:12" x14ac:dyDescent="0.25">
      <c r="A573" s="2" t="s">
        <v>1464</v>
      </c>
      <c r="B573" s="4" t="s">
        <v>572</v>
      </c>
      <c r="C573" s="2" t="str">
        <f t="shared" si="16"/>
        <v>Mar</v>
      </c>
      <c r="D573" s="2">
        <f t="shared" si="17"/>
        <v>2025</v>
      </c>
      <c r="E573" s="2" t="s">
        <v>1465</v>
      </c>
      <c r="F573" s="2" t="s">
        <v>42</v>
      </c>
      <c r="G573" s="2" t="s">
        <v>13</v>
      </c>
      <c r="H573" s="2" t="s">
        <v>73</v>
      </c>
      <c r="I573" s="2">
        <v>19222.2</v>
      </c>
      <c r="J573" s="2">
        <v>9</v>
      </c>
      <c r="K573" s="2">
        <v>3521.3</v>
      </c>
      <c r="L573" s="2"/>
    </row>
    <row r="574" spans="1:12" x14ac:dyDescent="0.25">
      <c r="A574" s="2" t="s">
        <v>1466</v>
      </c>
      <c r="B574" s="4" t="s">
        <v>707</v>
      </c>
      <c r="C574" s="2" t="str">
        <f t="shared" si="16"/>
        <v>Sep</v>
      </c>
      <c r="D574" s="2">
        <f t="shared" si="17"/>
        <v>2025</v>
      </c>
      <c r="E574" s="2" t="s">
        <v>1467</v>
      </c>
      <c r="F574" s="2" t="s">
        <v>34</v>
      </c>
      <c r="G574" s="2" t="s">
        <v>13</v>
      </c>
      <c r="H574" s="2" t="s">
        <v>121</v>
      </c>
      <c r="I574" s="2">
        <v>45671.9</v>
      </c>
      <c r="J574" s="2">
        <v>9</v>
      </c>
      <c r="K574" s="2">
        <v>11099.58</v>
      </c>
      <c r="L574" s="2"/>
    </row>
    <row r="575" spans="1:12" x14ac:dyDescent="0.25">
      <c r="A575" s="2" t="s">
        <v>1468</v>
      </c>
      <c r="B575" s="4" t="s">
        <v>1469</v>
      </c>
      <c r="C575" s="2" t="str">
        <f t="shared" si="16"/>
        <v>Oct</v>
      </c>
      <c r="D575" s="2">
        <f t="shared" si="17"/>
        <v>2025</v>
      </c>
      <c r="E575" s="2" t="s">
        <v>1470</v>
      </c>
      <c r="F575" s="2" t="s">
        <v>24</v>
      </c>
      <c r="G575" s="2" t="s">
        <v>13</v>
      </c>
      <c r="H575" s="2" t="s">
        <v>77</v>
      </c>
      <c r="I575" s="2">
        <v>3573.94</v>
      </c>
      <c r="J575" s="2">
        <v>5</v>
      </c>
      <c r="K575" s="2">
        <v>846.52</v>
      </c>
      <c r="L575" s="2"/>
    </row>
    <row r="576" spans="1:12" x14ac:dyDescent="0.25">
      <c r="A576" s="2" t="s">
        <v>1471</v>
      </c>
      <c r="B576" s="4" t="s">
        <v>874</v>
      </c>
      <c r="C576" s="2" t="str">
        <f t="shared" si="16"/>
        <v>Dec</v>
      </c>
      <c r="D576" s="2">
        <f t="shared" si="17"/>
        <v>2025</v>
      </c>
      <c r="E576" s="2" t="s">
        <v>1472</v>
      </c>
      <c r="F576" s="2" t="s">
        <v>97</v>
      </c>
      <c r="G576" s="2" t="s">
        <v>25</v>
      </c>
      <c r="H576" s="2" t="s">
        <v>154</v>
      </c>
      <c r="I576" s="2">
        <v>7613.09</v>
      </c>
      <c r="J576" s="2">
        <v>2</v>
      </c>
      <c r="K576" s="2">
        <v>2098.73</v>
      </c>
      <c r="L576" s="2"/>
    </row>
    <row r="577" spans="1:12" x14ac:dyDescent="0.25">
      <c r="A577" s="2" t="s">
        <v>1473</v>
      </c>
      <c r="B577" s="4" t="s">
        <v>1474</v>
      </c>
      <c r="C577" s="2" t="str">
        <f t="shared" si="16"/>
        <v>Nov</v>
      </c>
      <c r="D577" s="2">
        <f t="shared" si="17"/>
        <v>2025</v>
      </c>
      <c r="E577" s="2" t="s">
        <v>1475</v>
      </c>
      <c r="F577" s="2" t="s">
        <v>24</v>
      </c>
      <c r="G577" s="2" t="s">
        <v>19</v>
      </c>
      <c r="H577" s="2" t="s">
        <v>59</v>
      </c>
      <c r="I577" s="2">
        <v>15781.89</v>
      </c>
      <c r="J577" s="2">
        <v>3</v>
      </c>
      <c r="K577" s="2">
        <v>413.63</v>
      </c>
      <c r="L577" s="2"/>
    </row>
    <row r="578" spans="1:12" x14ac:dyDescent="0.25">
      <c r="A578" s="2" t="s">
        <v>1476</v>
      </c>
      <c r="B578" s="4" t="s">
        <v>782</v>
      </c>
      <c r="C578" s="2" t="str">
        <f t="shared" si="16"/>
        <v>Apr</v>
      </c>
      <c r="D578" s="2">
        <f t="shared" si="17"/>
        <v>2025</v>
      </c>
      <c r="E578" s="2" t="s">
        <v>1477</v>
      </c>
      <c r="F578" s="2" t="s">
        <v>24</v>
      </c>
      <c r="G578" s="2" t="s">
        <v>13</v>
      </c>
      <c r="H578" s="2" t="s">
        <v>121</v>
      </c>
      <c r="I578" s="2">
        <v>49470.37</v>
      </c>
      <c r="J578" s="2">
        <v>4</v>
      </c>
      <c r="K578" s="2">
        <v>10729</v>
      </c>
      <c r="L578" s="2"/>
    </row>
    <row r="579" spans="1:12" x14ac:dyDescent="0.25">
      <c r="A579" s="2" t="s">
        <v>1478</v>
      </c>
      <c r="B579" s="4" t="s">
        <v>948</v>
      </c>
      <c r="C579" s="2" t="str">
        <f t="shared" ref="C579:C642" si="18">TEXT(B579, "mmm")</f>
        <v>Sep</v>
      </c>
      <c r="D579" s="2">
        <f t="shared" ref="D579:D642" si="19">YEAR(B579)</f>
        <v>2025</v>
      </c>
      <c r="E579" s="2" t="s">
        <v>1479</v>
      </c>
      <c r="F579" s="2" t="s">
        <v>12</v>
      </c>
      <c r="G579" s="2" t="s">
        <v>54</v>
      </c>
      <c r="H579" s="2" t="s">
        <v>55</v>
      </c>
      <c r="I579" s="2">
        <v>10097.44</v>
      </c>
      <c r="J579" s="2">
        <v>2</v>
      </c>
      <c r="K579" s="2">
        <v>3010.08</v>
      </c>
      <c r="L579" s="2"/>
    </row>
    <row r="580" spans="1:12" x14ac:dyDescent="0.25">
      <c r="A580" s="2" t="s">
        <v>1480</v>
      </c>
      <c r="B580" s="4" t="s">
        <v>71</v>
      </c>
      <c r="C580" s="2" t="str">
        <f t="shared" si="18"/>
        <v>Jan</v>
      </c>
      <c r="D580" s="2">
        <f t="shared" si="19"/>
        <v>2025</v>
      </c>
      <c r="E580" s="2" t="s">
        <v>1481</v>
      </c>
      <c r="F580" s="2" t="s">
        <v>18</v>
      </c>
      <c r="G580" s="2" t="s">
        <v>25</v>
      </c>
      <c r="H580" s="2" t="s">
        <v>169</v>
      </c>
      <c r="I580" s="2">
        <v>35967.980000000003</v>
      </c>
      <c r="J580" s="2">
        <v>5</v>
      </c>
      <c r="K580" s="2">
        <v>-488.53</v>
      </c>
      <c r="L580" s="2"/>
    </row>
    <row r="581" spans="1:12" x14ac:dyDescent="0.25">
      <c r="A581" s="2" t="s">
        <v>1482</v>
      </c>
      <c r="B581" s="4" t="s">
        <v>71</v>
      </c>
      <c r="C581" s="2" t="str">
        <f t="shared" si="18"/>
        <v>Jan</v>
      </c>
      <c r="D581" s="2">
        <f t="shared" si="19"/>
        <v>2025</v>
      </c>
      <c r="E581" s="2" t="s">
        <v>1483</v>
      </c>
      <c r="F581" s="2" t="s">
        <v>42</v>
      </c>
      <c r="G581" s="2" t="s">
        <v>25</v>
      </c>
      <c r="H581" s="2" t="s">
        <v>47</v>
      </c>
      <c r="I581" s="2">
        <v>22094.04</v>
      </c>
      <c r="J581" s="2">
        <v>6</v>
      </c>
      <c r="K581" s="2">
        <v>3514.18</v>
      </c>
      <c r="L581" s="2"/>
    </row>
    <row r="582" spans="1:12" x14ac:dyDescent="0.25">
      <c r="A582" s="2" t="s">
        <v>1484</v>
      </c>
      <c r="B582" s="4" t="s">
        <v>237</v>
      </c>
      <c r="C582" s="2" t="str">
        <f t="shared" si="18"/>
        <v>May</v>
      </c>
      <c r="D582" s="2">
        <f t="shared" si="19"/>
        <v>2025</v>
      </c>
      <c r="E582" s="2" t="s">
        <v>1485</v>
      </c>
      <c r="F582" s="2" t="s">
        <v>42</v>
      </c>
      <c r="G582" s="2" t="s">
        <v>13</v>
      </c>
      <c r="H582" s="2" t="s">
        <v>77</v>
      </c>
      <c r="I582" s="2">
        <v>30267.31</v>
      </c>
      <c r="J582" s="2">
        <v>3</v>
      </c>
      <c r="K582" s="2">
        <v>3016.9</v>
      </c>
      <c r="L582" s="2"/>
    </row>
    <row r="583" spans="1:12" x14ac:dyDescent="0.25">
      <c r="A583" s="2" t="s">
        <v>1486</v>
      </c>
      <c r="B583" s="4" t="s">
        <v>414</v>
      </c>
      <c r="C583" s="2" t="str">
        <f t="shared" si="18"/>
        <v>Jul</v>
      </c>
      <c r="D583" s="2">
        <f t="shared" si="19"/>
        <v>2025</v>
      </c>
      <c r="E583" s="2" t="s">
        <v>1487</v>
      </c>
      <c r="F583" s="2" t="s">
        <v>42</v>
      </c>
      <c r="G583" s="2" t="s">
        <v>13</v>
      </c>
      <c r="H583" s="2" t="s">
        <v>77</v>
      </c>
      <c r="I583" s="2">
        <v>16072.83</v>
      </c>
      <c r="J583" s="2">
        <v>7</v>
      </c>
      <c r="K583" s="2">
        <v>1365.88</v>
      </c>
      <c r="L583" s="2"/>
    </row>
    <row r="584" spans="1:12" x14ac:dyDescent="0.25">
      <c r="A584" s="2" t="s">
        <v>1488</v>
      </c>
      <c r="B584" s="4" t="s">
        <v>240</v>
      </c>
      <c r="C584" s="2" t="str">
        <f t="shared" si="18"/>
        <v>Mar</v>
      </c>
      <c r="D584" s="2">
        <f t="shared" si="19"/>
        <v>2025</v>
      </c>
      <c r="E584" s="2" t="s">
        <v>1489</v>
      </c>
      <c r="F584" s="2" t="s">
        <v>34</v>
      </c>
      <c r="G584" s="2" t="s">
        <v>19</v>
      </c>
      <c r="H584" s="2" t="s">
        <v>63</v>
      </c>
      <c r="I584" s="2">
        <v>35147.69</v>
      </c>
      <c r="J584" s="2">
        <v>3</v>
      </c>
      <c r="K584" s="2">
        <v>9821.39</v>
      </c>
      <c r="L584" s="2"/>
    </row>
    <row r="585" spans="1:12" x14ac:dyDescent="0.25">
      <c r="A585" s="2" t="s">
        <v>1490</v>
      </c>
      <c r="B585" s="4" t="s">
        <v>1469</v>
      </c>
      <c r="C585" s="2" t="str">
        <f t="shared" si="18"/>
        <v>Oct</v>
      </c>
      <c r="D585" s="2">
        <f t="shared" si="19"/>
        <v>2025</v>
      </c>
      <c r="E585" s="2" t="s">
        <v>1491</v>
      </c>
      <c r="F585" s="2" t="s">
        <v>38</v>
      </c>
      <c r="G585" s="2" t="s">
        <v>13</v>
      </c>
      <c r="H585" s="2" t="s">
        <v>30</v>
      </c>
      <c r="I585" s="2">
        <v>44540.35</v>
      </c>
      <c r="J585" s="2">
        <v>10</v>
      </c>
      <c r="K585" s="2">
        <v>-48.14</v>
      </c>
      <c r="L585" s="2"/>
    </row>
    <row r="586" spans="1:12" x14ac:dyDescent="0.25">
      <c r="A586" s="2" t="s">
        <v>1492</v>
      </c>
      <c r="B586" s="4" t="s">
        <v>123</v>
      </c>
      <c r="C586" s="2" t="str">
        <f t="shared" si="18"/>
        <v>Jan</v>
      </c>
      <c r="D586" s="2">
        <f t="shared" si="19"/>
        <v>2025</v>
      </c>
      <c r="E586" s="2" t="s">
        <v>1493</v>
      </c>
      <c r="F586" s="2" t="s">
        <v>42</v>
      </c>
      <c r="G586" s="2" t="s">
        <v>13</v>
      </c>
      <c r="H586" s="2" t="s">
        <v>14</v>
      </c>
      <c r="I586" s="2">
        <v>2028.88</v>
      </c>
      <c r="J586" s="2">
        <v>10</v>
      </c>
      <c r="K586" s="2">
        <v>186.12</v>
      </c>
      <c r="L586" s="2"/>
    </row>
    <row r="587" spans="1:12" x14ac:dyDescent="0.25">
      <c r="A587" s="2" t="s">
        <v>1494</v>
      </c>
      <c r="B587" s="4" t="s">
        <v>1495</v>
      </c>
      <c r="C587" s="2" t="str">
        <f t="shared" si="18"/>
        <v>Apr</v>
      </c>
      <c r="D587" s="2">
        <f t="shared" si="19"/>
        <v>2025</v>
      </c>
      <c r="E587" s="2" t="s">
        <v>717</v>
      </c>
      <c r="F587" s="2" t="s">
        <v>34</v>
      </c>
      <c r="G587" s="2" t="s">
        <v>19</v>
      </c>
      <c r="H587" s="2" t="s">
        <v>20</v>
      </c>
      <c r="I587" s="2">
        <v>14619.82</v>
      </c>
      <c r="J587" s="2">
        <v>9</v>
      </c>
      <c r="K587" s="2">
        <v>2970.38</v>
      </c>
      <c r="L587" s="2"/>
    </row>
    <row r="588" spans="1:12" x14ac:dyDescent="0.25">
      <c r="A588" s="2" t="s">
        <v>1496</v>
      </c>
      <c r="B588" s="4" t="s">
        <v>86</v>
      </c>
      <c r="C588" s="2" t="str">
        <f t="shared" si="18"/>
        <v>Feb</v>
      </c>
      <c r="D588" s="2">
        <f t="shared" si="19"/>
        <v>2025</v>
      </c>
      <c r="E588" s="2" t="s">
        <v>1497</v>
      </c>
      <c r="F588" s="2" t="s">
        <v>18</v>
      </c>
      <c r="G588" s="2" t="s">
        <v>25</v>
      </c>
      <c r="H588" s="2" t="s">
        <v>169</v>
      </c>
      <c r="I588" s="2">
        <v>33745.58</v>
      </c>
      <c r="J588" s="2">
        <v>6</v>
      </c>
      <c r="K588" s="2">
        <v>-1269.23</v>
      </c>
      <c r="L588" s="2"/>
    </row>
    <row r="589" spans="1:12" x14ac:dyDescent="0.25">
      <c r="A589" s="2" t="s">
        <v>1498</v>
      </c>
      <c r="B589" s="4" t="s">
        <v>572</v>
      </c>
      <c r="C589" s="2" t="str">
        <f t="shared" si="18"/>
        <v>Mar</v>
      </c>
      <c r="D589" s="2">
        <f t="shared" si="19"/>
        <v>2025</v>
      </c>
      <c r="E589" s="2" t="s">
        <v>1499</v>
      </c>
      <c r="F589" s="2" t="s">
        <v>12</v>
      </c>
      <c r="G589" s="2" t="s">
        <v>13</v>
      </c>
      <c r="H589" s="2" t="s">
        <v>73</v>
      </c>
      <c r="I589" s="2">
        <v>48619.4</v>
      </c>
      <c r="J589" s="2">
        <v>9</v>
      </c>
      <c r="K589" s="2">
        <v>2195.5500000000002</v>
      </c>
      <c r="L589" s="2"/>
    </row>
    <row r="590" spans="1:12" x14ac:dyDescent="0.25">
      <c r="A590" s="2" t="s">
        <v>1500</v>
      </c>
      <c r="B590" s="4" t="s">
        <v>653</v>
      </c>
      <c r="C590" s="2" t="str">
        <f t="shared" si="18"/>
        <v>Jul</v>
      </c>
      <c r="D590" s="2">
        <f t="shared" si="19"/>
        <v>2025</v>
      </c>
      <c r="E590" s="2" t="s">
        <v>1501</v>
      </c>
      <c r="F590" s="2" t="s">
        <v>18</v>
      </c>
      <c r="G590" s="2" t="s">
        <v>19</v>
      </c>
      <c r="H590" s="2" t="s">
        <v>63</v>
      </c>
      <c r="I590" s="2">
        <v>19139.86</v>
      </c>
      <c r="J590" s="2">
        <v>4</v>
      </c>
      <c r="K590" s="2">
        <v>1926.38</v>
      </c>
      <c r="L590" s="2"/>
    </row>
    <row r="591" spans="1:12" x14ac:dyDescent="0.25">
      <c r="A591" s="2" t="s">
        <v>1502</v>
      </c>
      <c r="B591" s="4" t="s">
        <v>1474</v>
      </c>
      <c r="C591" s="2" t="str">
        <f t="shared" si="18"/>
        <v>Nov</v>
      </c>
      <c r="D591" s="2">
        <f t="shared" si="19"/>
        <v>2025</v>
      </c>
      <c r="E591" s="2" t="s">
        <v>1503</v>
      </c>
      <c r="F591" s="2" t="s">
        <v>42</v>
      </c>
      <c r="G591" s="2" t="s">
        <v>13</v>
      </c>
      <c r="H591" s="2" t="s">
        <v>73</v>
      </c>
      <c r="I591" s="2">
        <v>28423</v>
      </c>
      <c r="J591" s="2">
        <v>2</v>
      </c>
      <c r="K591" s="2">
        <v>5737.34</v>
      </c>
      <c r="L591" s="2"/>
    </row>
    <row r="592" spans="1:12" x14ac:dyDescent="0.25">
      <c r="A592" s="2" t="s">
        <v>1504</v>
      </c>
      <c r="B592" s="4" t="s">
        <v>49</v>
      </c>
      <c r="C592" s="2" t="str">
        <f t="shared" si="18"/>
        <v>Jul</v>
      </c>
      <c r="D592" s="2">
        <f t="shared" si="19"/>
        <v>2025</v>
      </c>
      <c r="E592" s="2" t="s">
        <v>1505</v>
      </c>
      <c r="F592" s="2" t="s">
        <v>97</v>
      </c>
      <c r="G592" s="2" t="s">
        <v>25</v>
      </c>
      <c r="H592" s="2" t="s">
        <v>47</v>
      </c>
      <c r="I592" s="2">
        <v>28508.560000000001</v>
      </c>
      <c r="J592" s="2">
        <v>10</v>
      </c>
      <c r="K592" s="2">
        <v>3841.83</v>
      </c>
      <c r="L592" s="2"/>
    </row>
    <row r="593" spans="1:12" x14ac:dyDescent="0.25">
      <c r="A593" s="2" t="s">
        <v>1506</v>
      </c>
      <c r="B593" s="4" t="s">
        <v>1507</v>
      </c>
      <c r="C593" s="2" t="str">
        <f t="shared" si="18"/>
        <v>Jun</v>
      </c>
      <c r="D593" s="2">
        <f t="shared" si="19"/>
        <v>2025</v>
      </c>
      <c r="E593" s="2" t="s">
        <v>1508</v>
      </c>
      <c r="F593" s="2" t="s">
        <v>24</v>
      </c>
      <c r="G593" s="2" t="s">
        <v>19</v>
      </c>
      <c r="H593" s="2" t="s">
        <v>101</v>
      </c>
      <c r="I593" s="2">
        <v>4447.67</v>
      </c>
      <c r="J593" s="2">
        <v>7</v>
      </c>
      <c r="K593" s="2">
        <v>975.39</v>
      </c>
      <c r="L593" s="2"/>
    </row>
    <row r="594" spans="1:12" x14ac:dyDescent="0.25">
      <c r="A594" s="2" t="s">
        <v>1509</v>
      </c>
      <c r="B594" s="4" t="s">
        <v>372</v>
      </c>
      <c r="C594" s="2" t="str">
        <f t="shared" si="18"/>
        <v>Jun</v>
      </c>
      <c r="D594" s="2">
        <f t="shared" si="19"/>
        <v>2025</v>
      </c>
      <c r="E594" s="2" t="s">
        <v>1510</v>
      </c>
      <c r="F594" s="2" t="s">
        <v>42</v>
      </c>
      <c r="G594" s="2" t="s">
        <v>54</v>
      </c>
      <c r="H594" s="2" t="s">
        <v>138</v>
      </c>
      <c r="I594" s="2">
        <v>14657.86</v>
      </c>
      <c r="J594" s="2">
        <v>2</v>
      </c>
      <c r="K594" s="2">
        <v>3576.01</v>
      </c>
      <c r="L594" s="2"/>
    </row>
    <row r="595" spans="1:12" x14ac:dyDescent="0.25">
      <c r="A595" s="2" t="s">
        <v>1511</v>
      </c>
      <c r="B595" s="4" t="s">
        <v>1151</v>
      </c>
      <c r="C595" s="2" t="str">
        <f t="shared" si="18"/>
        <v>May</v>
      </c>
      <c r="D595" s="2">
        <f t="shared" si="19"/>
        <v>2025</v>
      </c>
      <c r="E595" s="2" t="s">
        <v>1512</v>
      </c>
      <c r="F595" s="2" t="s">
        <v>34</v>
      </c>
      <c r="G595" s="2" t="s">
        <v>25</v>
      </c>
      <c r="H595" s="2" t="s">
        <v>47</v>
      </c>
      <c r="I595" s="2">
        <v>24315.84</v>
      </c>
      <c r="J595" s="2">
        <v>1</v>
      </c>
      <c r="K595" s="2">
        <v>5683.29</v>
      </c>
      <c r="L595" s="2"/>
    </row>
    <row r="596" spans="1:12" x14ac:dyDescent="0.25">
      <c r="A596" s="2" t="s">
        <v>1513</v>
      </c>
      <c r="B596" s="4" t="s">
        <v>501</v>
      </c>
      <c r="C596" s="2" t="str">
        <f t="shared" si="18"/>
        <v>Jul</v>
      </c>
      <c r="D596" s="2">
        <f t="shared" si="19"/>
        <v>2025</v>
      </c>
      <c r="E596" s="2" t="s">
        <v>1514</v>
      </c>
      <c r="F596" s="2" t="s">
        <v>38</v>
      </c>
      <c r="G596" s="2" t="s">
        <v>19</v>
      </c>
      <c r="H596" s="2" t="s">
        <v>43</v>
      </c>
      <c r="I596" s="2">
        <v>35524.28</v>
      </c>
      <c r="J596" s="2">
        <v>10</v>
      </c>
      <c r="K596" s="2">
        <v>7556.22</v>
      </c>
      <c r="L596" s="2"/>
    </row>
    <row r="597" spans="1:12" x14ac:dyDescent="0.25">
      <c r="A597" s="2" t="s">
        <v>1515</v>
      </c>
      <c r="B597" s="4" t="s">
        <v>653</v>
      </c>
      <c r="C597" s="2" t="str">
        <f t="shared" si="18"/>
        <v>Jul</v>
      </c>
      <c r="D597" s="2">
        <f t="shared" si="19"/>
        <v>2025</v>
      </c>
      <c r="E597" s="2" t="s">
        <v>1516</v>
      </c>
      <c r="F597" s="2" t="s">
        <v>18</v>
      </c>
      <c r="G597" s="2" t="s">
        <v>25</v>
      </c>
      <c r="H597" s="2" t="s">
        <v>169</v>
      </c>
      <c r="I597" s="2">
        <v>36575.629999999997</v>
      </c>
      <c r="J597" s="2">
        <v>6</v>
      </c>
      <c r="K597" s="2">
        <v>-163.79</v>
      </c>
      <c r="L597" s="2"/>
    </row>
    <row r="598" spans="1:12" x14ac:dyDescent="0.25">
      <c r="A598" s="2" t="s">
        <v>1517</v>
      </c>
      <c r="B598" s="4" t="s">
        <v>1518</v>
      </c>
      <c r="C598" s="2" t="str">
        <f t="shared" si="18"/>
        <v>Aug</v>
      </c>
      <c r="D598" s="2">
        <f t="shared" si="19"/>
        <v>2025</v>
      </c>
      <c r="E598" s="2" t="s">
        <v>1519</v>
      </c>
      <c r="F598" s="2" t="s">
        <v>18</v>
      </c>
      <c r="G598" s="2" t="s">
        <v>25</v>
      </c>
      <c r="H598" s="2" t="s">
        <v>365</v>
      </c>
      <c r="I598" s="2">
        <v>4744.42</v>
      </c>
      <c r="J598" s="2">
        <v>10</v>
      </c>
      <c r="K598" s="2">
        <v>148.76</v>
      </c>
      <c r="L598" s="2"/>
    </row>
    <row r="599" spans="1:12" x14ac:dyDescent="0.25">
      <c r="A599" s="2" t="s">
        <v>1520</v>
      </c>
      <c r="B599" s="4" t="s">
        <v>1037</v>
      </c>
      <c r="C599" s="2" t="str">
        <f t="shared" si="18"/>
        <v>Jun</v>
      </c>
      <c r="D599" s="2">
        <f t="shared" si="19"/>
        <v>2025</v>
      </c>
      <c r="E599" s="2" t="s">
        <v>1521</v>
      </c>
      <c r="F599" s="2" t="s">
        <v>34</v>
      </c>
      <c r="G599" s="2" t="s">
        <v>13</v>
      </c>
      <c r="H599" s="2" t="s">
        <v>121</v>
      </c>
      <c r="I599" s="2">
        <v>27803.82</v>
      </c>
      <c r="J599" s="2">
        <v>3</v>
      </c>
      <c r="K599" s="2">
        <v>4019.02</v>
      </c>
      <c r="L599" s="2"/>
    </row>
    <row r="600" spans="1:12" x14ac:dyDescent="0.25">
      <c r="A600" s="2" t="s">
        <v>1522</v>
      </c>
      <c r="B600" s="4" t="s">
        <v>1523</v>
      </c>
      <c r="C600" s="2" t="str">
        <f t="shared" si="18"/>
        <v>Sep</v>
      </c>
      <c r="D600" s="2">
        <f t="shared" si="19"/>
        <v>2025</v>
      </c>
      <c r="E600" s="2" t="s">
        <v>1524</v>
      </c>
      <c r="F600" s="2" t="s">
        <v>24</v>
      </c>
      <c r="G600" s="2" t="s">
        <v>19</v>
      </c>
      <c r="H600" s="2" t="s">
        <v>63</v>
      </c>
      <c r="I600" s="2">
        <v>45747.73</v>
      </c>
      <c r="J600" s="2">
        <v>10</v>
      </c>
      <c r="K600" s="2">
        <v>7050.9</v>
      </c>
      <c r="L600" s="2"/>
    </row>
    <row r="601" spans="1:12" x14ac:dyDescent="0.25">
      <c r="A601" s="2" t="s">
        <v>1525</v>
      </c>
      <c r="B601" s="4" t="s">
        <v>694</v>
      </c>
      <c r="C601" s="2" t="str">
        <f t="shared" si="18"/>
        <v>Jan</v>
      </c>
      <c r="D601" s="2">
        <f t="shared" si="19"/>
        <v>2025</v>
      </c>
      <c r="E601" s="2" t="s">
        <v>1526</v>
      </c>
      <c r="F601" s="2" t="s">
        <v>97</v>
      </c>
      <c r="G601" s="2" t="s">
        <v>25</v>
      </c>
      <c r="H601" s="2" t="s">
        <v>154</v>
      </c>
      <c r="I601" s="2">
        <v>37921.550000000003</v>
      </c>
      <c r="J601" s="2">
        <v>2</v>
      </c>
      <c r="K601" s="2">
        <v>8150.54</v>
      </c>
      <c r="L601" s="2"/>
    </row>
    <row r="602" spans="1:12" x14ac:dyDescent="0.25">
      <c r="A602" s="2" t="s">
        <v>1527</v>
      </c>
      <c r="B602" s="4" t="s">
        <v>156</v>
      </c>
      <c r="C602" s="2" t="str">
        <f t="shared" si="18"/>
        <v>Jun</v>
      </c>
      <c r="D602" s="2">
        <f t="shared" si="19"/>
        <v>2025</v>
      </c>
      <c r="E602" s="2" t="s">
        <v>1528</v>
      </c>
      <c r="F602" s="2" t="s">
        <v>42</v>
      </c>
      <c r="G602" s="2" t="s">
        <v>13</v>
      </c>
      <c r="H602" s="2" t="s">
        <v>14</v>
      </c>
      <c r="I602" s="2">
        <v>32405.39</v>
      </c>
      <c r="J602" s="2">
        <v>1</v>
      </c>
      <c r="K602" s="2">
        <v>4250.32</v>
      </c>
      <c r="L602" s="2"/>
    </row>
    <row r="603" spans="1:12" x14ac:dyDescent="0.25">
      <c r="A603" s="2" t="s">
        <v>1529</v>
      </c>
      <c r="B603" s="4" t="s">
        <v>256</v>
      </c>
      <c r="C603" s="2" t="str">
        <f t="shared" si="18"/>
        <v>Jan</v>
      </c>
      <c r="D603" s="2">
        <f t="shared" si="19"/>
        <v>2025</v>
      </c>
      <c r="E603" s="2" t="s">
        <v>1530</v>
      </c>
      <c r="F603" s="2" t="s">
        <v>12</v>
      </c>
      <c r="G603" s="2" t="s">
        <v>13</v>
      </c>
      <c r="H603" s="2" t="s">
        <v>30</v>
      </c>
      <c r="I603" s="2">
        <v>46702.46</v>
      </c>
      <c r="J603" s="2">
        <v>2</v>
      </c>
      <c r="K603" s="2">
        <v>10480.42</v>
      </c>
      <c r="L603" s="2"/>
    </row>
    <row r="604" spans="1:12" x14ac:dyDescent="0.25">
      <c r="A604" s="2" t="s">
        <v>1531</v>
      </c>
      <c r="B604" s="4" t="s">
        <v>123</v>
      </c>
      <c r="C604" s="2" t="str">
        <f t="shared" si="18"/>
        <v>Jan</v>
      </c>
      <c r="D604" s="2">
        <f t="shared" si="19"/>
        <v>2025</v>
      </c>
      <c r="E604" s="2" t="s">
        <v>1532</v>
      </c>
      <c r="F604" s="2" t="s">
        <v>42</v>
      </c>
      <c r="G604" s="2" t="s">
        <v>54</v>
      </c>
      <c r="H604" s="2" t="s">
        <v>138</v>
      </c>
      <c r="I604" s="2">
        <v>15462.15</v>
      </c>
      <c r="J604" s="2">
        <v>4</v>
      </c>
      <c r="K604" s="2">
        <v>2534.36</v>
      </c>
      <c r="L604" s="2"/>
    </row>
    <row r="605" spans="1:12" x14ac:dyDescent="0.25">
      <c r="A605" s="2" t="s">
        <v>1533</v>
      </c>
      <c r="B605" s="4" t="s">
        <v>1534</v>
      </c>
      <c r="C605" s="2" t="str">
        <f t="shared" si="18"/>
        <v>Jun</v>
      </c>
      <c r="D605" s="2">
        <f t="shared" si="19"/>
        <v>2025</v>
      </c>
      <c r="E605" s="2" t="s">
        <v>1535</v>
      </c>
      <c r="F605" s="2" t="s">
        <v>24</v>
      </c>
      <c r="G605" s="2" t="s">
        <v>54</v>
      </c>
      <c r="H605" s="2" t="s">
        <v>84</v>
      </c>
      <c r="I605" s="2">
        <v>2705.98</v>
      </c>
      <c r="J605" s="2">
        <v>10</v>
      </c>
      <c r="K605" s="2">
        <v>609.59</v>
      </c>
      <c r="L605" s="2"/>
    </row>
    <row r="606" spans="1:12" x14ac:dyDescent="0.25">
      <c r="A606" s="2" t="s">
        <v>1536</v>
      </c>
      <c r="B606" s="4" t="s">
        <v>1537</v>
      </c>
      <c r="C606" s="2" t="str">
        <f t="shared" si="18"/>
        <v>Apr</v>
      </c>
      <c r="D606" s="2">
        <f t="shared" si="19"/>
        <v>2025</v>
      </c>
      <c r="E606" s="2" t="s">
        <v>1538</v>
      </c>
      <c r="F606" s="2" t="s">
        <v>12</v>
      </c>
      <c r="G606" s="2" t="s">
        <v>19</v>
      </c>
      <c r="H606" s="2" t="s">
        <v>101</v>
      </c>
      <c r="I606" s="2">
        <v>45390.61</v>
      </c>
      <c r="J606" s="2">
        <v>10</v>
      </c>
      <c r="K606" s="2">
        <v>11220.01</v>
      </c>
      <c r="L606" s="2"/>
    </row>
    <row r="607" spans="1:12" x14ac:dyDescent="0.25">
      <c r="A607" s="2" t="s">
        <v>1539</v>
      </c>
      <c r="B607" s="4" t="s">
        <v>132</v>
      </c>
      <c r="C607" s="2" t="str">
        <f t="shared" si="18"/>
        <v>Nov</v>
      </c>
      <c r="D607" s="2">
        <f t="shared" si="19"/>
        <v>2025</v>
      </c>
      <c r="E607" s="2" t="s">
        <v>1540</v>
      </c>
      <c r="F607" s="2" t="s">
        <v>42</v>
      </c>
      <c r="G607" s="2" t="s">
        <v>54</v>
      </c>
      <c r="H607" s="2" t="s">
        <v>190</v>
      </c>
      <c r="I607" s="2">
        <v>10380.719999999999</v>
      </c>
      <c r="J607" s="2">
        <v>8</v>
      </c>
      <c r="K607" s="2">
        <v>1869.61</v>
      </c>
      <c r="L607" s="2"/>
    </row>
    <row r="608" spans="1:12" x14ac:dyDescent="0.25">
      <c r="A608" s="2" t="s">
        <v>1541</v>
      </c>
      <c r="B608" s="4" t="s">
        <v>1542</v>
      </c>
      <c r="C608" s="2" t="str">
        <f t="shared" si="18"/>
        <v>Feb</v>
      </c>
      <c r="D608" s="2">
        <f t="shared" si="19"/>
        <v>2025</v>
      </c>
      <c r="E608" s="2" t="s">
        <v>1543</v>
      </c>
      <c r="F608" s="2" t="s">
        <v>38</v>
      </c>
      <c r="G608" s="2" t="s">
        <v>13</v>
      </c>
      <c r="H608" s="2" t="s">
        <v>73</v>
      </c>
      <c r="I608" s="2">
        <v>36174.25</v>
      </c>
      <c r="J608" s="2">
        <v>10</v>
      </c>
      <c r="K608" s="2">
        <v>2567.87</v>
      </c>
      <c r="L608" s="2"/>
    </row>
    <row r="609" spans="1:12" x14ac:dyDescent="0.25">
      <c r="A609" s="2" t="s">
        <v>1544</v>
      </c>
      <c r="B609" s="4" t="s">
        <v>1112</v>
      </c>
      <c r="C609" s="2" t="str">
        <f t="shared" si="18"/>
        <v>Jan</v>
      </c>
      <c r="D609" s="2">
        <f t="shared" si="19"/>
        <v>2025</v>
      </c>
      <c r="E609" s="2" t="s">
        <v>1545</v>
      </c>
      <c r="F609" s="2" t="s">
        <v>38</v>
      </c>
      <c r="G609" s="2" t="s">
        <v>54</v>
      </c>
      <c r="H609" s="2" t="s">
        <v>84</v>
      </c>
      <c r="I609" s="2">
        <v>26438.86</v>
      </c>
      <c r="J609" s="2">
        <v>10</v>
      </c>
      <c r="K609" s="2">
        <v>4812.83</v>
      </c>
      <c r="L609" s="2"/>
    </row>
    <row r="610" spans="1:12" x14ac:dyDescent="0.25">
      <c r="A610" s="2" t="s">
        <v>1546</v>
      </c>
      <c r="B610" s="4" t="s">
        <v>785</v>
      </c>
      <c r="C610" s="2" t="str">
        <f t="shared" si="18"/>
        <v>Nov</v>
      </c>
      <c r="D610" s="2">
        <f t="shared" si="19"/>
        <v>2025</v>
      </c>
      <c r="E610" s="2" t="s">
        <v>1547</v>
      </c>
      <c r="F610" s="2" t="s">
        <v>42</v>
      </c>
      <c r="G610" s="2" t="s">
        <v>19</v>
      </c>
      <c r="H610" s="2" t="s">
        <v>20</v>
      </c>
      <c r="I610" s="2">
        <v>16782.990000000002</v>
      </c>
      <c r="J610" s="2">
        <v>10</v>
      </c>
      <c r="K610" s="2">
        <v>3411</v>
      </c>
      <c r="L610" s="2"/>
    </row>
    <row r="611" spans="1:12" x14ac:dyDescent="0.25">
      <c r="A611" s="2" t="s">
        <v>1548</v>
      </c>
      <c r="B611" s="4" t="s">
        <v>314</v>
      </c>
      <c r="C611" s="2" t="str">
        <f t="shared" si="18"/>
        <v>May</v>
      </c>
      <c r="D611" s="2">
        <f t="shared" si="19"/>
        <v>2025</v>
      </c>
      <c r="E611" s="2" t="s">
        <v>1549</v>
      </c>
      <c r="F611" s="2" t="s">
        <v>97</v>
      </c>
      <c r="G611" s="2" t="s">
        <v>54</v>
      </c>
      <c r="H611" s="2" t="s">
        <v>111</v>
      </c>
      <c r="I611" s="2">
        <v>6558.47</v>
      </c>
      <c r="J611" s="2">
        <v>7</v>
      </c>
      <c r="K611" s="2">
        <v>1481.5</v>
      </c>
      <c r="L611" s="2"/>
    </row>
    <row r="612" spans="1:12" x14ac:dyDescent="0.25">
      <c r="A612" s="2" t="s">
        <v>1550</v>
      </c>
      <c r="B612" s="4" t="s">
        <v>972</v>
      </c>
      <c r="C612" s="2" t="str">
        <f t="shared" si="18"/>
        <v>Dec</v>
      </c>
      <c r="D612" s="2">
        <f t="shared" si="19"/>
        <v>2025</v>
      </c>
      <c r="E612" s="2" t="s">
        <v>1551</v>
      </c>
      <c r="F612" s="2" t="s">
        <v>97</v>
      </c>
      <c r="G612" s="2" t="s">
        <v>13</v>
      </c>
      <c r="H612" s="2" t="s">
        <v>73</v>
      </c>
      <c r="I612" s="2">
        <v>9579.32</v>
      </c>
      <c r="J612" s="2">
        <v>4</v>
      </c>
      <c r="K612" s="2">
        <v>902.8</v>
      </c>
      <c r="L612" s="2"/>
    </row>
    <row r="613" spans="1:12" x14ac:dyDescent="0.25">
      <c r="A613" s="2" t="s">
        <v>1552</v>
      </c>
      <c r="B613" s="4" t="s">
        <v>967</v>
      </c>
      <c r="C613" s="2" t="str">
        <f t="shared" si="18"/>
        <v>Jan</v>
      </c>
      <c r="D613" s="2">
        <f t="shared" si="19"/>
        <v>2025</v>
      </c>
      <c r="E613" s="2" t="s">
        <v>1553</v>
      </c>
      <c r="F613" s="2" t="s">
        <v>97</v>
      </c>
      <c r="G613" s="2" t="s">
        <v>54</v>
      </c>
      <c r="H613" s="2" t="s">
        <v>84</v>
      </c>
      <c r="I613" s="2">
        <v>25026.38</v>
      </c>
      <c r="J613" s="2">
        <v>10</v>
      </c>
      <c r="K613" s="2">
        <v>3687.92</v>
      </c>
      <c r="L613" s="2"/>
    </row>
    <row r="614" spans="1:12" x14ac:dyDescent="0.25">
      <c r="A614" s="2" t="s">
        <v>1554</v>
      </c>
      <c r="B614" s="4" t="s">
        <v>600</v>
      </c>
      <c r="C614" s="2" t="str">
        <f t="shared" si="18"/>
        <v>Dec</v>
      </c>
      <c r="D614" s="2">
        <f t="shared" si="19"/>
        <v>2025</v>
      </c>
      <c r="E614" s="2" t="s">
        <v>1555</v>
      </c>
      <c r="F614" s="2" t="s">
        <v>42</v>
      </c>
      <c r="G614" s="2" t="s">
        <v>13</v>
      </c>
      <c r="H614" s="2" t="s">
        <v>73</v>
      </c>
      <c r="I614" s="2">
        <v>47588.14</v>
      </c>
      <c r="J614" s="2">
        <v>4</v>
      </c>
      <c r="K614" s="2">
        <v>909.03</v>
      </c>
      <c r="L614" s="2"/>
    </row>
    <row r="615" spans="1:12" x14ac:dyDescent="0.25">
      <c r="A615" s="2" t="s">
        <v>1556</v>
      </c>
      <c r="B615" s="4" t="s">
        <v>434</v>
      </c>
      <c r="C615" s="2" t="str">
        <f t="shared" si="18"/>
        <v>Dec</v>
      </c>
      <c r="D615" s="2">
        <f t="shared" si="19"/>
        <v>2025</v>
      </c>
      <c r="E615" s="2" t="s">
        <v>1557</v>
      </c>
      <c r="F615" s="2" t="s">
        <v>97</v>
      </c>
      <c r="G615" s="2" t="s">
        <v>54</v>
      </c>
      <c r="H615" s="2" t="s">
        <v>190</v>
      </c>
      <c r="I615" s="2">
        <v>4294.5200000000004</v>
      </c>
      <c r="J615" s="2">
        <v>9</v>
      </c>
      <c r="K615" s="2">
        <v>-23.71</v>
      </c>
      <c r="L615" s="2"/>
    </row>
    <row r="616" spans="1:12" x14ac:dyDescent="0.25">
      <c r="A616" s="2" t="s">
        <v>1558</v>
      </c>
      <c r="B616" s="4" t="s">
        <v>671</v>
      </c>
      <c r="C616" s="2" t="str">
        <f t="shared" si="18"/>
        <v>Oct</v>
      </c>
      <c r="D616" s="2">
        <f t="shared" si="19"/>
        <v>2025</v>
      </c>
      <c r="E616" s="2" t="s">
        <v>1559</v>
      </c>
      <c r="F616" s="2" t="s">
        <v>24</v>
      </c>
      <c r="G616" s="2" t="s">
        <v>25</v>
      </c>
      <c r="H616" s="2" t="s">
        <v>26</v>
      </c>
      <c r="I616" s="2">
        <v>20437.07</v>
      </c>
      <c r="J616" s="2">
        <v>8</v>
      </c>
      <c r="K616" s="2">
        <v>3725.59</v>
      </c>
      <c r="L616" s="2"/>
    </row>
    <row r="617" spans="1:12" x14ac:dyDescent="0.25">
      <c r="A617" s="2" t="s">
        <v>1560</v>
      </c>
      <c r="B617" s="4" t="s">
        <v>350</v>
      </c>
      <c r="C617" s="2" t="str">
        <f t="shared" si="18"/>
        <v>Mar</v>
      </c>
      <c r="D617" s="2">
        <f t="shared" si="19"/>
        <v>2025</v>
      </c>
      <c r="E617" s="2" t="s">
        <v>1561</v>
      </c>
      <c r="F617" s="2" t="s">
        <v>12</v>
      </c>
      <c r="G617" s="2" t="s">
        <v>54</v>
      </c>
      <c r="H617" s="2" t="s">
        <v>55</v>
      </c>
      <c r="I617" s="2">
        <v>41280.68</v>
      </c>
      <c r="J617" s="2">
        <v>9</v>
      </c>
      <c r="K617" s="2">
        <v>4874.17</v>
      </c>
      <c r="L617" s="2"/>
    </row>
    <row r="618" spans="1:12" x14ac:dyDescent="0.25">
      <c r="A618" s="2" t="s">
        <v>1562</v>
      </c>
      <c r="B618" s="4" t="s">
        <v>589</v>
      </c>
      <c r="C618" s="2" t="str">
        <f t="shared" si="18"/>
        <v>Jan</v>
      </c>
      <c r="D618" s="2">
        <f t="shared" si="19"/>
        <v>2025</v>
      </c>
      <c r="E618" s="2" t="s">
        <v>1563</v>
      </c>
      <c r="F618" s="2" t="s">
        <v>97</v>
      </c>
      <c r="G618" s="2" t="s">
        <v>19</v>
      </c>
      <c r="H618" s="2" t="s">
        <v>59</v>
      </c>
      <c r="I618" s="2">
        <v>21065.74</v>
      </c>
      <c r="J618" s="2">
        <v>6</v>
      </c>
      <c r="K618" s="2">
        <v>4488.1499999999996</v>
      </c>
      <c r="L618" s="2"/>
    </row>
    <row r="619" spans="1:12" x14ac:dyDescent="0.25">
      <c r="A619" s="2" t="s">
        <v>1564</v>
      </c>
      <c r="B619" s="4" t="s">
        <v>1305</v>
      </c>
      <c r="C619" s="2" t="str">
        <f t="shared" si="18"/>
        <v>Dec</v>
      </c>
      <c r="D619" s="2">
        <f t="shared" si="19"/>
        <v>2025</v>
      </c>
      <c r="E619" s="2" t="s">
        <v>1565</v>
      </c>
      <c r="F619" s="2" t="s">
        <v>12</v>
      </c>
      <c r="G619" s="2" t="s">
        <v>54</v>
      </c>
      <c r="H619" s="2" t="s">
        <v>55</v>
      </c>
      <c r="I619" s="2">
        <v>44683.32</v>
      </c>
      <c r="J619" s="2">
        <v>2</v>
      </c>
      <c r="K619" s="2">
        <v>7240.68</v>
      </c>
      <c r="L619" s="2"/>
    </row>
    <row r="620" spans="1:12" x14ac:dyDescent="0.25">
      <c r="A620" s="2" t="s">
        <v>1566</v>
      </c>
      <c r="B620" s="4" t="s">
        <v>1567</v>
      </c>
      <c r="C620" s="2" t="str">
        <f t="shared" si="18"/>
        <v>Aug</v>
      </c>
      <c r="D620" s="2">
        <f t="shared" si="19"/>
        <v>2025</v>
      </c>
      <c r="E620" s="2" t="s">
        <v>1568</v>
      </c>
      <c r="F620" s="2" t="s">
        <v>34</v>
      </c>
      <c r="G620" s="2" t="s">
        <v>13</v>
      </c>
      <c r="H620" s="2" t="s">
        <v>121</v>
      </c>
      <c r="I620" s="2">
        <v>8827.69</v>
      </c>
      <c r="J620" s="2">
        <v>7</v>
      </c>
      <c r="K620" s="2">
        <v>1813.93</v>
      </c>
      <c r="L620" s="2"/>
    </row>
    <row r="621" spans="1:12" x14ac:dyDescent="0.25">
      <c r="A621" s="2" t="s">
        <v>1569</v>
      </c>
      <c r="B621" s="4" t="s">
        <v>1570</v>
      </c>
      <c r="C621" s="2" t="str">
        <f t="shared" si="18"/>
        <v>Dec</v>
      </c>
      <c r="D621" s="2">
        <f t="shared" si="19"/>
        <v>2025</v>
      </c>
      <c r="E621" s="2" t="s">
        <v>1571</v>
      </c>
      <c r="F621" s="2" t="s">
        <v>24</v>
      </c>
      <c r="G621" s="2" t="s">
        <v>19</v>
      </c>
      <c r="H621" s="2" t="s">
        <v>63</v>
      </c>
      <c r="I621" s="2">
        <v>28969.66</v>
      </c>
      <c r="J621" s="2">
        <v>1</v>
      </c>
      <c r="K621" s="2">
        <v>6530.22</v>
      </c>
      <c r="L621" s="2"/>
    </row>
    <row r="622" spans="1:12" x14ac:dyDescent="0.25">
      <c r="A622" s="2" t="s">
        <v>1572</v>
      </c>
      <c r="B622" s="4" t="s">
        <v>959</v>
      </c>
      <c r="C622" s="2" t="str">
        <f t="shared" si="18"/>
        <v>Jan</v>
      </c>
      <c r="D622" s="2">
        <f t="shared" si="19"/>
        <v>2025</v>
      </c>
      <c r="E622" s="2" t="s">
        <v>1573</v>
      </c>
      <c r="F622" s="2" t="s">
        <v>12</v>
      </c>
      <c r="G622" s="2" t="s">
        <v>54</v>
      </c>
      <c r="H622" s="2" t="s">
        <v>190</v>
      </c>
      <c r="I622" s="2">
        <v>35277.64</v>
      </c>
      <c r="J622" s="2">
        <v>10</v>
      </c>
      <c r="K622" s="2">
        <v>7959.19</v>
      </c>
      <c r="L622" s="2"/>
    </row>
    <row r="623" spans="1:12" x14ac:dyDescent="0.25">
      <c r="A623" s="2" t="s">
        <v>1574</v>
      </c>
      <c r="B623" s="4" t="s">
        <v>1534</v>
      </c>
      <c r="C623" s="2" t="str">
        <f t="shared" si="18"/>
        <v>Jun</v>
      </c>
      <c r="D623" s="2">
        <f t="shared" si="19"/>
        <v>2025</v>
      </c>
      <c r="E623" s="2" t="s">
        <v>1575</v>
      </c>
      <c r="F623" s="2" t="s">
        <v>97</v>
      </c>
      <c r="G623" s="2" t="s">
        <v>13</v>
      </c>
      <c r="H623" s="2" t="s">
        <v>121</v>
      </c>
      <c r="I623" s="2">
        <v>26324.880000000001</v>
      </c>
      <c r="J623" s="2">
        <v>10</v>
      </c>
      <c r="K623" s="2">
        <v>-905.19</v>
      </c>
      <c r="L623" s="2"/>
    </row>
    <row r="624" spans="1:12" x14ac:dyDescent="0.25">
      <c r="A624" s="2" t="s">
        <v>1576</v>
      </c>
      <c r="B624" s="4" t="s">
        <v>1008</v>
      </c>
      <c r="C624" s="2" t="str">
        <f t="shared" si="18"/>
        <v>Jan</v>
      </c>
      <c r="D624" s="2">
        <f t="shared" si="19"/>
        <v>2025</v>
      </c>
      <c r="E624" s="2" t="s">
        <v>1577</v>
      </c>
      <c r="F624" s="2" t="s">
        <v>34</v>
      </c>
      <c r="G624" s="2" t="s">
        <v>13</v>
      </c>
      <c r="H624" s="2" t="s">
        <v>73</v>
      </c>
      <c r="I624" s="2">
        <v>8200.5499999999993</v>
      </c>
      <c r="J624" s="2">
        <v>5</v>
      </c>
      <c r="K624" s="2">
        <v>-75.569999999999993</v>
      </c>
      <c r="L624" s="2"/>
    </row>
    <row r="625" spans="1:12" x14ac:dyDescent="0.25">
      <c r="A625" s="2" t="s">
        <v>1578</v>
      </c>
      <c r="B625" s="4" t="s">
        <v>1579</v>
      </c>
      <c r="C625" s="2" t="str">
        <f t="shared" si="18"/>
        <v>Jul</v>
      </c>
      <c r="D625" s="2">
        <f t="shared" si="19"/>
        <v>2025</v>
      </c>
      <c r="E625" s="2" t="s">
        <v>1580</v>
      </c>
      <c r="F625" s="2" t="s">
        <v>97</v>
      </c>
      <c r="G625" s="2" t="s">
        <v>13</v>
      </c>
      <c r="H625" s="2" t="s">
        <v>14</v>
      </c>
      <c r="I625" s="2">
        <v>32696.880000000001</v>
      </c>
      <c r="J625" s="2">
        <v>5</v>
      </c>
      <c r="K625" s="2">
        <v>3051.46</v>
      </c>
      <c r="L625" s="2"/>
    </row>
    <row r="626" spans="1:12" x14ac:dyDescent="0.25">
      <c r="A626" s="2" t="s">
        <v>1581</v>
      </c>
      <c r="B626" s="4" t="s">
        <v>132</v>
      </c>
      <c r="C626" s="2" t="str">
        <f t="shared" si="18"/>
        <v>Nov</v>
      </c>
      <c r="D626" s="2">
        <f t="shared" si="19"/>
        <v>2025</v>
      </c>
      <c r="E626" s="2" t="s">
        <v>1582</v>
      </c>
      <c r="F626" s="2" t="s">
        <v>12</v>
      </c>
      <c r="G626" s="2" t="s">
        <v>54</v>
      </c>
      <c r="H626" s="2" t="s">
        <v>55</v>
      </c>
      <c r="I626" s="2">
        <v>33640.65</v>
      </c>
      <c r="J626" s="2">
        <v>5</v>
      </c>
      <c r="K626" s="2">
        <v>7089.4</v>
      </c>
      <c r="L626" s="2"/>
    </row>
    <row r="627" spans="1:12" x14ac:dyDescent="0.25">
      <c r="A627" s="2" t="s">
        <v>1583</v>
      </c>
      <c r="B627" s="4" t="s">
        <v>806</v>
      </c>
      <c r="C627" s="2" t="str">
        <f t="shared" si="18"/>
        <v>Jun</v>
      </c>
      <c r="D627" s="2">
        <f t="shared" si="19"/>
        <v>2025</v>
      </c>
      <c r="E627" s="2" t="s">
        <v>1584</v>
      </c>
      <c r="F627" s="2" t="s">
        <v>34</v>
      </c>
      <c r="G627" s="2" t="s">
        <v>13</v>
      </c>
      <c r="H627" s="2" t="s">
        <v>121</v>
      </c>
      <c r="I627" s="2">
        <v>26747.85</v>
      </c>
      <c r="J627" s="2">
        <v>1</v>
      </c>
      <c r="K627" s="2">
        <v>5652.11</v>
      </c>
      <c r="L627" s="2"/>
    </row>
    <row r="628" spans="1:12" x14ac:dyDescent="0.25">
      <c r="A628" s="2" t="s">
        <v>1585</v>
      </c>
      <c r="B628" s="4" t="s">
        <v>1178</v>
      </c>
      <c r="C628" s="2" t="str">
        <f t="shared" si="18"/>
        <v>Apr</v>
      </c>
      <c r="D628" s="2">
        <f t="shared" si="19"/>
        <v>2025</v>
      </c>
      <c r="E628" s="2" t="s">
        <v>1586</v>
      </c>
      <c r="F628" s="2" t="s">
        <v>18</v>
      </c>
      <c r="G628" s="2" t="s">
        <v>13</v>
      </c>
      <c r="H628" s="2" t="s">
        <v>121</v>
      </c>
      <c r="I628" s="2">
        <v>15132.17</v>
      </c>
      <c r="J628" s="2">
        <v>3</v>
      </c>
      <c r="K628" s="2">
        <v>-3.4</v>
      </c>
      <c r="L628" s="2"/>
    </row>
    <row r="629" spans="1:12" x14ac:dyDescent="0.25">
      <c r="A629" s="2" t="s">
        <v>1587</v>
      </c>
      <c r="B629" s="4" t="s">
        <v>1345</v>
      </c>
      <c r="C629" s="2" t="str">
        <f t="shared" si="18"/>
        <v>Sep</v>
      </c>
      <c r="D629" s="2">
        <f t="shared" si="19"/>
        <v>2025</v>
      </c>
      <c r="E629" s="2" t="s">
        <v>1588</v>
      </c>
      <c r="F629" s="2" t="s">
        <v>38</v>
      </c>
      <c r="G629" s="2" t="s">
        <v>19</v>
      </c>
      <c r="H629" s="2" t="s">
        <v>43</v>
      </c>
      <c r="I629" s="2">
        <v>4645.0200000000004</v>
      </c>
      <c r="J629" s="2">
        <v>9</v>
      </c>
      <c r="K629" s="2">
        <v>659.78</v>
      </c>
      <c r="L629" s="2"/>
    </row>
    <row r="630" spans="1:12" x14ac:dyDescent="0.25">
      <c r="A630" s="2" t="s">
        <v>1589</v>
      </c>
      <c r="B630" s="4" t="s">
        <v>937</v>
      </c>
      <c r="C630" s="2" t="str">
        <f t="shared" si="18"/>
        <v>Jun</v>
      </c>
      <c r="D630" s="2">
        <f t="shared" si="19"/>
        <v>2025</v>
      </c>
      <c r="E630" s="2" t="s">
        <v>1590</v>
      </c>
      <c r="F630" s="2" t="s">
        <v>24</v>
      </c>
      <c r="G630" s="2" t="s">
        <v>25</v>
      </c>
      <c r="H630" s="2" t="s">
        <v>365</v>
      </c>
      <c r="I630" s="2">
        <v>20710.02</v>
      </c>
      <c r="J630" s="2">
        <v>8</v>
      </c>
      <c r="K630" s="2">
        <v>6169.18</v>
      </c>
      <c r="L630" s="2"/>
    </row>
    <row r="631" spans="1:12" x14ac:dyDescent="0.25">
      <c r="A631" s="2" t="s">
        <v>1591</v>
      </c>
      <c r="B631" s="4" t="s">
        <v>697</v>
      </c>
      <c r="C631" s="2" t="str">
        <f t="shared" si="18"/>
        <v>Sep</v>
      </c>
      <c r="D631" s="2">
        <f t="shared" si="19"/>
        <v>2025</v>
      </c>
      <c r="E631" s="2" t="s">
        <v>1592</v>
      </c>
      <c r="F631" s="2" t="s">
        <v>18</v>
      </c>
      <c r="G631" s="2" t="s">
        <v>19</v>
      </c>
      <c r="H631" s="2" t="s">
        <v>63</v>
      </c>
      <c r="I631" s="2">
        <v>31973.39</v>
      </c>
      <c r="J631" s="2">
        <v>1</v>
      </c>
      <c r="K631" s="2">
        <v>8262.7900000000009</v>
      </c>
      <c r="L631" s="2"/>
    </row>
    <row r="632" spans="1:12" x14ac:dyDescent="0.25">
      <c r="A632" s="2" t="s">
        <v>1593</v>
      </c>
      <c r="B632" s="4" t="s">
        <v>1507</v>
      </c>
      <c r="C632" s="2" t="str">
        <f t="shared" si="18"/>
        <v>Jun</v>
      </c>
      <c r="D632" s="2">
        <f t="shared" si="19"/>
        <v>2025</v>
      </c>
      <c r="E632" s="2" t="s">
        <v>1594</v>
      </c>
      <c r="F632" s="2" t="s">
        <v>18</v>
      </c>
      <c r="G632" s="2" t="s">
        <v>13</v>
      </c>
      <c r="H632" s="2" t="s">
        <v>73</v>
      </c>
      <c r="I632" s="2">
        <v>30450.17</v>
      </c>
      <c r="J632" s="2">
        <v>10</v>
      </c>
      <c r="K632" s="2">
        <v>8071.48</v>
      </c>
      <c r="L632" s="2"/>
    </row>
    <row r="633" spans="1:12" x14ac:dyDescent="0.25">
      <c r="A633" s="2" t="s">
        <v>1595</v>
      </c>
      <c r="B633" s="4" t="s">
        <v>367</v>
      </c>
      <c r="C633" s="2" t="str">
        <f t="shared" si="18"/>
        <v>Apr</v>
      </c>
      <c r="D633" s="2">
        <f t="shared" si="19"/>
        <v>2025</v>
      </c>
      <c r="E633" s="2" t="s">
        <v>1596</v>
      </c>
      <c r="F633" s="2" t="s">
        <v>12</v>
      </c>
      <c r="G633" s="2" t="s">
        <v>54</v>
      </c>
      <c r="H633" s="2" t="s">
        <v>84</v>
      </c>
      <c r="I633" s="2">
        <v>28819.17</v>
      </c>
      <c r="J633" s="2">
        <v>6</v>
      </c>
      <c r="K633" s="2">
        <v>7714.47</v>
      </c>
      <c r="L633" s="2"/>
    </row>
    <row r="634" spans="1:12" x14ac:dyDescent="0.25">
      <c r="A634" s="2" t="s">
        <v>1597</v>
      </c>
      <c r="B634" s="4" t="s">
        <v>526</v>
      </c>
      <c r="C634" s="2" t="str">
        <f t="shared" si="18"/>
        <v>Jun</v>
      </c>
      <c r="D634" s="2">
        <f t="shared" si="19"/>
        <v>2025</v>
      </c>
      <c r="E634" s="2" t="s">
        <v>1598</v>
      </c>
      <c r="F634" s="2" t="s">
        <v>18</v>
      </c>
      <c r="G634" s="2" t="s">
        <v>19</v>
      </c>
      <c r="H634" s="2" t="s">
        <v>101</v>
      </c>
      <c r="I634" s="2">
        <v>4129.74</v>
      </c>
      <c r="J634" s="2">
        <v>3</v>
      </c>
      <c r="K634" s="2">
        <v>236.66</v>
      </c>
      <c r="L634" s="2"/>
    </row>
    <row r="635" spans="1:12" x14ac:dyDescent="0.25">
      <c r="A635" s="2" t="s">
        <v>1599</v>
      </c>
      <c r="B635" s="4" t="s">
        <v>1600</v>
      </c>
      <c r="C635" s="2" t="str">
        <f t="shared" si="18"/>
        <v>May</v>
      </c>
      <c r="D635" s="2">
        <f t="shared" si="19"/>
        <v>2025</v>
      </c>
      <c r="E635" s="2" t="s">
        <v>1601</v>
      </c>
      <c r="F635" s="2" t="s">
        <v>12</v>
      </c>
      <c r="G635" s="2" t="s">
        <v>19</v>
      </c>
      <c r="H635" s="2" t="s">
        <v>63</v>
      </c>
      <c r="I635" s="2">
        <v>6265.79</v>
      </c>
      <c r="J635" s="2">
        <v>1</v>
      </c>
      <c r="K635" s="2">
        <v>1613.32</v>
      </c>
      <c r="L635" s="2"/>
    </row>
    <row r="636" spans="1:12" x14ac:dyDescent="0.25">
      <c r="A636" s="2" t="s">
        <v>1602</v>
      </c>
      <c r="B636" s="4" t="s">
        <v>174</v>
      </c>
      <c r="C636" s="2" t="str">
        <f t="shared" si="18"/>
        <v>Feb</v>
      </c>
      <c r="D636" s="2">
        <f t="shared" si="19"/>
        <v>2025</v>
      </c>
      <c r="E636" s="2" t="s">
        <v>1603</v>
      </c>
      <c r="F636" s="2" t="s">
        <v>42</v>
      </c>
      <c r="G636" s="2" t="s">
        <v>13</v>
      </c>
      <c r="H636" s="2" t="s">
        <v>30</v>
      </c>
      <c r="I636" s="2">
        <v>2862.12</v>
      </c>
      <c r="J636" s="2">
        <v>8</v>
      </c>
      <c r="K636" s="2">
        <v>659.83</v>
      </c>
      <c r="L636" s="2"/>
    </row>
    <row r="637" spans="1:12" x14ac:dyDescent="0.25">
      <c r="A637" s="2" t="s">
        <v>1604</v>
      </c>
      <c r="B637" s="4" t="s">
        <v>1605</v>
      </c>
      <c r="C637" s="2" t="str">
        <f t="shared" si="18"/>
        <v>Sep</v>
      </c>
      <c r="D637" s="2">
        <f t="shared" si="19"/>
        <v>2025</v>
      </c>
      <c r="E637" s="2" t="s">
        <v>1606</v>
      </c>
      <c r="F637" s="2" t="s">
        <v>34</v>
      </c>
      <c r="G637" s="2" t="s">
        <v>13</v>
      </c>
      <c r="H637" s="2" t="s">
        <v>121</v>
      </c>
      <c r="I637" s="2">
        <v>2332.84</v>
      </c>
      <c r="J637" s="2">
        <v>6</v>
      </c>
      <c r="K637" s="2">
        <v>580.4</v>
      </c>
      <c r="L637" s="2"/>
    </row>
    <row r="638" spans="1:12" x14ac:dyDescent="0.25">
      <c r="A638" s="2" t="s">
        <v>1607</v>
      </c>
      <c r="B638" s="4" t="s">
        <v>603</v>
      </c>
      <c r="C638" s="2" t="str">
        <f t="shared" si="18"/>
        <v>Oct</v>
      </c>
      <c r="D638" s="2">
        <f t="shared" si="19"/>
        <v>2025</v>
      </c>
      <c r="E638" s="2" t="s">
        <v>1608</v>
      </c>
      <c r="F638" s="2" t="s">
        <v>18</v>
      </c>
      <c r="G638" s="2" t="s">
        <v>19</v>
      </c>
      <c r="H638" s="2" t="s">
        <v>20</v>
      </c>
      <c r="I638" s="2">
        <v>6728.82</v>
      </c>
      <c r="J638" s="2">
        <v>6</v>
      </c>
      <c r="K638" s="2">
        <v>1478.53</v>
      </c>
      <c r="L638" s="2"/>
    </row>
    <row r="639" spans="1:12" x14ac:dyDescent="0.25">
      <c r="A639" s="2" t="s">
        <v>1609</v>
      </c>
      <c r="B639" s="4" t="s">
        <v>52</v>
      </c>
      <c r="C639" s="2" t="str">
        <f t="shared" si="18"/>
        <v>Feb</v>
      </c>
      <c r="D639" s="2">
        <f t="shared" si="19"/>
        <v>2025</v>
      </c>
      <c r="E639" s="2" t="s">
        <v>1610</v>
      </c>
      <c r="F639" s="2" t="s">
        <v>97</v>
      </c>
      <c r="G639" s="2" t="s">
        <v>25</v>
      </c>
      <c r="H639" s="2" t="s">
        <v>169</v>
      </c>
      <c r="I639" s="2">
        <v>49416.79</v>
      </c>
      <c r="J639" s="2">
        <v>7</v>
      </c>
      <c r="K639" s="2">
        <v>9788.4699999999993</v>
      </c>
      <c r="L639" s="2"/>
    </row>
    <row r="640" spans="1:12" x14ac:dyDescent="0.25">
      <c r="A640" s="2" t="s">
        <v>1611</v>
      </c>
      <c r="B640" s="4" t="s">
        <v>621</v>
      </c>
      <c r="C640" s="2" t="str">
        <f t="shared" si="18"/>
        <v>Nov</v>
      </c>
      <c r="D640" s="2">
        <f t="shared" si="19"/>
        <v>2025</v>
      </c>
      <c r="E640" s="2" t="s">
        <v>1612</v>
      </c>
      <c r="F640" s="2" t="s">
        <v>12</v>
      </c>
      <c r="G640" s="2" t="s">
        <v>13</v>
      </c>
      <c r="H640" s="2" t="s">
        <v>73</v>
      </c>
      <c r="I640" s="2">
        <v>11849.98</v>
      </c>
      <c r="J640" s="2">
        <v>2</v>
      </c>
      <c r="K640" s="2">
        <v>2343.33</v>
      </c>
      <c r="L640" s="2"/>
    </row>
    <row r="641" spans="1:12" x14ac:dyDescent="0.25">
      <c r="A641" s="2" t="s">
        <v>1613</v>
      </c>
      <c r="B641" s="4" t="s">
        <v>603</v>
      </c>
      <c r="C641" s="2" t="str">
        <f t="shared" si="18"/>
        <v>Oct</v>
      </c>
      <c r="D641" s="2">
        <f t="shared" si="19"/>
        <v>2025</v>
      </c>
      <c r="E641" s="2" t="s">
        <v>1614</v>
      </c>
      <c r="F641" s="2" t="s">
        <v>18</v>
      </c>
      <c r="G641" s="2" t="s">
        <v>25</v>
      </c>
      <c r="H641" s="2" t="s">
        <v>47</v>
      </c>
      <c r="I641" s="2">
        <v>15271.75</v>
      </c>
      <c r="J641" s="2">
        <v>4</v>
      </c>
      <c r="K641" s="2">
        <v>1277.44</v>
      </c>
      <c r="L641" s="2"/>
    </row>
    <row r="642" spans="1:12" x14ac:dyDescent="0.25">
      <c r="A642" s="2" t="s">
        <v>1615</v>
      </c>
      <c r="B642" s="4" t="s">
        <v>645</v>
      </c>
      <c r="C642" s="2" t="str">
        <f t="shared" si="18"/>
        <v>Dec</v>
      </c>
      <c r="D642" s="2">
        <f t="shared" si="19"/>
        <v>2025</v>
      </c>
      <c r="E642" s="2" t="s">
        <v>1616</v>
      </c>
      <c r="F642" s="2" t="s">
        <v>18</v>
      </c>
      <c r="G642" s="2" t="s">
        <v>13</v>
      </c>
      <c r="H642" s="2" t="s">
        <v>77</v>
      </c>
      <c r="I642" s="2">
        <v>868.46</v>
      </c>
      <c r="J642" s="2">
        <v>2</v>
      </c>
      <c r="K642" s="2">
        <v>-39.61</v>
      </c>
      <c r="L642" s="2"/>
    </row>
    <row r="643" spans="1:12" x14ac:dyDescent="0.25">
      <c r="A643" s="2" t="s">
        <v>1617</v>
      </c>
      <c r="B643" s="4" t="s">
        <v>1204</v>
      </c>
      <c r="C643" s="2" t="str">
        <f t="shared" ref="C643:C706" si="20">TEXT(B643, "mmm")</f>
        <v>Mar</v>
      </c>
      <c r="D643" s="2">
        <f t="shared" ref="D643:D706" si="21">YEAR(B643)</f>
        <v>2025</v>
      </c>
      <c r="E643" s="2" t="s">
        <v>1618</v>
      </c>
      <c r="F643" s="2" t="s">
        <v>38</v>
      </c>
      <c r="G643" s="2" t="s">
        <v>13</v>
      </c>
      <c r="H643" s="2" t="s">
        <v>30</v>
      </c>
      <c r="I643" s="2">
        <v>22321.62</v>
      </c>
      <c r="J643" s="2">
        <v>7</v>
      </c>
      <c r="K643" s="2">
        <v>3893.91</v>
      </c>
      <c r="L643" s="2"/>
    </row>
    <row r="644" spans="1:12" x14ac:dyDescent="0.25">
      <c r="A644" s="2" t="s">
        <v>1619</v>
      </c>
      <c r="B644" s="4" t="s">
        <v>702</v>
      </c>
      <c r="C644" s="2" t="str">
        <f t="shared" si="20"/>
        <v>Sep</v>
      </c>
      <c r="D644" s="2">
        <f t="shared" si="21"/>
        <v>2025</v>
      </c>
      <c r="E644" s="2" t="s">
        <v>1620</v>
      </c>
      <c r="F644" s="2" t="s">
        <v>42</v>
      </c>
      <c r="G644" s="2" t="s">
        <v>19</v>
      </c>
      <c r="H644" s="2" t="s">
        <v>20</v>
      </c>
      <c r="I644" s="2">
        <v>30022.63</v>
      </c>
      <c r="J644" s="2">
        <v>3</v>
      </c>
      <c r="K644" s="2">
        <v>1385.39</v>
      </c>
      <c r="L644" s="2"/>
    </row>
    <row r="645" spans="1:12" x14ac:dyDescent="0.25">
      <c r="A645" s="2" t="s">
        <v>1621</v>
      </c>
      <c r="B645" s="4" t="s">
        <v>581</v>
      </c>
      <c r="C645" s="2" t="str">
        <f t="shared" si="20"/>
        <v>Jun</v>
      </c>
      <c r="D645" s="2">
        <f t="shared" si="21"/>
        <v>2025</v>
      </c>
      <c r="E645" s="2" t="s">
        <v>1622</v>
      </c>
      <c r="F645" s="2" t="s">
        <v>42</v>
      </c>
      <c r="G645" s="2" t="s">
        <v>25</v>
      </c>
      <c r="H645" s="2" t="s">
        <v>26</v>
      </c>
      <c r="I645" s="2">
        <v>41366.53</v>
      </c>
      <c r="J645" s="2">
        <v>7</v>
      </c>
      <c r="K645" s="2">
        <v>4930.6899999999996</v>
      </c>
      <c r="L645" s="2"/>
    </row>
    <row r="646" spans="1:12" x14ac:dyDescent="0.25">
      <c r="A646" s="2" t="s">
        <v>1623</v>
      </c>
      <c r="B646" s="4" t="s">
        <v>945</v>
      </c>
      <c r="C646" s="2" t="str">
        <f t="shared" si="20"/>
        <v>Dec</v>
      </c>
      <c r="D646" s="2">
        <f t="shared" si="21"/>
        <v>2025</v>
      </c>
      <c r="E646" s="2" t="s">
        <v>1624</v>
      </c>
      <c r="F646" s="2" t="s">
        <v>38</v>
      </c>
      <c r="G646" s="2" t="s">
        <v>54</v>
      </c>
      <c r="H646" s="2" t="s">
        <v>84</v>
      </c>
      <c r="I646" s="2">
        <v>19597.349999999999</v>
      </c>
      <c r="J646" s="2">
        <v>6</v>
      </c>
      <c r="K646" s="2">
        <v>1859.78</v>
      </c>
      <c r="L646" s="2"/>
    </row>
    <row r="647" spans="1:12" x14ac:dyDescent="0.25">
      <c r="A647" s="2" t="s">
        <v>1625</v>
      </c>
      <c r="B647" s="4" t="s">
        <v>1537</v>
      </c>
      <c r="C647" s="2" t="str">
        <f t="shared" si="20"/>
        <v>Apr</v>
      </c>
      <c r="D647" s="2">
        <f t="shared" si="21"/>
        <v>2025</v>
      </c>
      <c r="E647" s="2" t="s">
        <v>1626</v>
      </c>
      <c r="F647" s="2" t="s">
        <v>42</v>
      </c>
      <c r="G647" s="2" t="s">
        <v>54</v>
      </c>
      <c r="H647" s="2" t="s">
        <v>190</v>
      </c>
      <c r="I647" s="2">
        <v>33222.43</v>
      </c>
      <c r="J647" s="2">
        <v>3</v>
      </c>
      <c r="K647" s="2">
        <v>6612.26</v>
      </c>
      <c r="L647" s="2"/>
    </row>
    <row r="648" spans="1:12" x14ac:dyDescent="0.25">
      <c r="A648" s="2" t="s">
        <v>1627</v>
      </c>
      <c r="B648" s="4" t="s">
        <v>478</v>
      </c>
      <c r="C648" s="2" t="str">
        <f t="shared" si="20"/>
        <v>Oct</v>
      </c>
      <c r="D648" s="2">
        <f t="shared" si="21"/>
        <v>2025</v>
      </c>
      <c r="E648" s="2" t="s">
        <v>1628</v>
      </c>
      <c r="F648" s="2" t="s">
        <v>24</v>
      </c>
      <c r="G648" s="2" t="s">
        <v>25</v>
      </c>
      <c r="H648" s="2" t="s">
        <v>365</v>
      </c>
      <c r="I648" s="2">
        <v>20576.45</v>
      </c>
      <c r="J648" s="2">
        <v>9</v>
      </c>
      <c r="K648" s="2">
        <v>5173.1400000000003</v>
      </c>
      <c r="L648" s="2"/>
    </row>
    <row r="649" spans="1:12" x14ac:dyDescent="0.25">
      <c r="A649" s="2" t="s">
        <v>1629</v>
      </c>
      <c r="B649" s="4" t="s">
        <v>1197</v>
      </c>
      <c r="C649" s="2" t="str">
        <f t="shared" si="20"/>
        <v>Aug</v>
      </c>
      <c r="D649" s="2">
        <f t="shared" si="21"/>
        <v>2025</v>
      </c>
      <c r="E649" s="2" t="s">
        <v>1630</v>
      </c>
      <c r="F649" s="2" t="s">
        <v>97</v>
      </c>
      <c r="G649" s="2" t="s">
        <v>25</v>
      </c>
      <c r="H649" s="2" t="s">
        <v>26</v>
      </c>
      <c r="I649" s="2">
        <v>27157.22</v>
      </c>
      <c r="J649" s="2">
        <v>3</v>
      </c>
      <c r="K649" s="2">
        <v>-1067.45</v>
      </c>
      <c r="L649" s="2"/>
    </row>
    <row r="650" spans="1:12" x14ac:dyDescent="0.25">
      <c r="A650" s="2" t="s">
        <v>1631</v>
      </c>
      <c r="B650" s="4" t="s">
        <v>1632</v>
      </c>
      <c r="C650" s="2" t="str">
        <f t="shared" si="20"/>
        <v>Jul</v>
      </c>
      <c r="D650" s="2">
        <f t="shared" si="21"/>
        <v>2025</v>
      </c>
      <c r="E650" s="2" t="s">
        <v>1633</v>
      </c>
      <c r="F650" s="2" t="s">
        <v>38</v>
      </c>
      <c r="G650" s="2" t="s">
        <v>19</v>
      </c>
      <c r="H650" s="2" t="s">
        <v>59</v>
      </c>
      <c r="I650" s="2">
        <v>39450.129999999997</v>
      </c>
      <c r="J650" s="2">
        <v>1</v>
      </c>
      <c r="K650" s="2">
        <v>-1641.78</v>
      </c>
      <c r="L650" s="2"/>
    </row>
    <row r="651" spans="1:12" x14ac:dyDescent="0.25">
      <c r="A651" s="2" t="s">
        <v>1634</v>
      </c>
      <c r="B651" s="4" t="s">
        <v>1635</v>
      </c>
      <c r="C651" s="2" t="str">
        <f t="shared" si="20"/>
        <v>Mar</v>
      </c>
      <c r="D651" s="2">
        <f t="shared" si="21"/>
        <v>2025</v>
      </c>
      <c r="E651" s="2" t="s">
        <v>1636</v>
      </c>
      <c r="F651" s="2" t="s">
        <v>12</v>
      </c>
      <c r="G651" s="2" t="s">
        <v>25</v>
      </c>
      <c r="H651" s="2" t="s">
        <v>26</v>
      </c>
      <c r="I651" s="2">
        <v>24483.25</v>
      </c>
      <c r="J651" s="2">
        <v>8</v>
      </c>
      <c r="K651" s="2">
        <v>7159.05</v>
      </c>
      <c r="L651" s="2"/>
    </row>
    <row r="652" spans="1:12" x14ac:dyDescent="0.25">
      <c r="A652" s="2" t="s">
        <v>1637</v>
      </c>
      <c r="B652" s="4" t="s">
        <v>1141</v>
      </c>
      <c r="C652" s="2" t="str">
        <f t="shared" si="20"/>
        <v>Jul</v>
      </c>
      <c r="D652" s="2">
        <f t="shared" si="21"/>
        <v>2025</v>
      </c>
      <c r="E652" s="2" t="s">
        <v>1638</v>
      </c>
      <c r="F652" s="2" t="s">
        <v>34</v>
      </c>
      <c r="G652" s="2" t="s">
        <v>25</v>
      </c>
      <c r="H652" s="2" t="s">
        <v>169</v>
      </c>
      <c r="I652" s="2">
        <v>19828.939999999999</v>
      </c>
      <c r="J652" s="2">
        <v>3</v>
      </c>
      <c r="K652" s="2">
        <v>3305.48</v>
      </c>
      <c r="L652" s="2"/>
    </row>
    <row r="653" spans="1:12" x14ac:dyDescent="0.25">
      <c r="A653" s="2" t="s">
        <v>1639</v>
      </c>
      <c r="B653" s="4" t="s">
        <v>1259</v>
      </c>
      <c r="C653" s="2" t="str">
        <f t="shared" si="20"/>
        <v>Apr</v>
      </c>
      <c r="D653" s="2">
        <f t="shared" si="21"/>
        <v>2025</v>
      </c>
      <c r="E653" s="2" t="s">
        <v>1640</v>
      </c>
      <c r="F653" s="2" t="s">
        <v>12</v>
      </c>
      <c r="G653" s="2" t="s">
        <v>13</v>
      </c>
      <c r="H653" s="2" t="s">
        <v>77</v>
      </c>
      <c r="I653" s="2">
        <v>45789.09</v>
      </c>
      <c r="J653" s="2">
        <v>3</v>
      </c>
      <c r="K653" s="2">
        <v>7195.25</v>
      </c>
      <c r="L653" s="2"/>
    </row>
    <row r="654" spans="1:12" x14ac:dyDescent="0.25">
      <c r="A654" s="2" t="s">
        <v>1641</v>
      </c>
      <c r="B654" s="4" t="s">
        <v>501</v>
      </c>
      <c r="C654" s="2" t="str">
        <f t="shared" si="20"/>
        <v>Jul</v>
      </c>
      <c r="D654" s="2">
        <f t="shared" si="21"/>
        <v>2025</v>
      </c>
      <c r="E654" s="2" t="s">
        <v>1642</v>
      </c>
      <c r="F654" s="2" t="s">
        <v>97</v>
      </c>
      <c r="G654" s="2" t="s">
        <v>19</v>
      </c>
      <c r="H654" s="2" t="s">
        <v>63</v>
      </c>
      <c r="I654" s="2">
        <v>28699.75</v>
      </c>
      <c r="J654" s="2">
        <v>3</v>
      </c>
      <c r="K654" s="2">
        <v>5038.25</v>
      </c>
      <c r="L654" s="2"/>
    </row>
    <row r="655" spans="1:12" x14ac:dyDescent="0.25">
      <c r="A655" s="2" t="s">
        <v>1643</v>
      </c>
      <c r="B655" s="4" t="s">
        <v>129</v>
      </c>
      <c r="C655" s="2" t="str">
        <f t="shared" si="20"/>
        <v>Dec</v>
      </c>
      <c r="D655" s="2">
        <f t="shared" si="21"/>
        <v>2025</v>
      </c>
      <c r="E655" s="2" t="s">
        <v>1644</v>
      </c>
      <c r="F655" s="2" t="s">
        <v>38</v>
      </c>
      <c r="G655" s="2" t="s">
        <v>19</v>
      </c>
      <c r="H655" s="2" t="s">
        <v>20</v>
      </c>
      <c r="I655" s="2">
        <v>9048.0400000000009</v>
      </c>
      <c r="J655" s="2">
        <v>8</v>
      </c>
      <c r="K655" s="2">
        <v>1587.81</v>
      </c>
      <c r="L655" s="2"/>
    </row>
    <row r="656" spans="1:12" x14ac:dyDescent="0.25">
      <c r="A656" s="2" t="s">
        <v>1645</v>
      </c>
      <c r="B656" s="4" t="s">
        <v>1646</v>
      </c>
      <c r="C656" s="2" t="str">
        <f t="shared" si="20"/>
        <v>Aug</v>
      </c>
      <c r="D656" s="2">
        <f t="shared" si="21"/>
        <v>2025</v>
      </c>
      <c r="E656" s="2" t="s">
        <v>1647</v>
      </c>
      <c r="F656" s="2" t="s">
        <v>34</v>
      </c>
      <c r="G656" s="2" t="s">
        <v>19</v>
      </c>
      <c r="H656" s="2" t="s">
        <v>59</v>
      </c>
      <c r="I656" s="2">
        <v>22938.14</v>
      </c>
      <c r="J656" s="2">
        <v>8</v>
      </c>
      <c r="K656" s="2">
        <v>-198.98</v>
      </c>
      <c r="L656" s="2"/>
    </row>
    <row r="657" spans="1:12" x14ac:dyDescent="0.25">
      <c r="A657" s="2" t="s">
        <v>1648</v>
      </c>
      <c r="B657" s="4" t="s">
        <v>1495</v>
      </c>
      <c r="C657" s="2" t="str">
        <f t="shared" si="20"/>
        <v>Apr</v>
      </c>
      <c r="D657" s="2">
        <f t="shared" si="21"/>
        <v>2025</v>
      </c>
      <c r="E657" s="2" t="s">
        <v>1649</v>
      </c>
      <c r="F657" s="2" t="s">
        <v>38</v>
      </c>
      <c r="G657" s="2" t="s">
        <v>19</v>
      </c>
      <c r="H657" s="2" t="s">
        <v>59</v>
      </c>
      <c r="I657" s="2">
        <v>43754.39</v>
      </c>
      <c r="J657" s="2">
        <v>6</v>
      </c>
      <c r="K657" s="2">
        <v>2435.9699999999998</v>
      </c>
      <c r="L657" s="2"/>
    </row>
    <row r="658" spans="1:12" x14ac:dyDescent="0.25">
      <c r="A658" s="2" t="s">
        <v>1650</v>
      </c>
      <c r="B658" s="4" t="s">
        <v>1651</v>
      </c>
      <c r="C658" s="2" t="str">
        <f t="shared" si="20"/>
        <v>Dec</v>
      </c>
      <c r="D658" s="2">
        <f t="shared" si="21"/>
        <v>2025</v>
      </c>
      <c r="E658" s="2" t="s">
        <v>1652</v>
      </c>
      <c r="F658" s="2" t="s">
        <v>18</v>
      </c>
      <c r="G658" s="2" t="s">
        <v>19</v>
      </c>
      <c r="H658" s="2" t="s">
        <v>101</v>
      </c>
      <c r="I658" s="2">
        <v>28333.48</v>
      </c>
      <c r="J658" s="2">
        <v>3</v>
      </c>
      <c r="K658" s="2">
        <v>-406.17</v>
      </c>
      <c r="L658" s="2"/>
    </row>
    <row r="659" spans="1:12" x14ac:dyDescent="0.25">
      <c r="A659" s="2" t="s">
        <v>1653</v>
      </c>
      <c r="B659" s="4" t="s">
        <v>149</v>
      </c>
      <c r="C659" s="2" t="str">
        <f t="shared" si="20"/>
        <v>May</v>
      </c>
      <c r="D659" s="2">
        <f t="shared" si="21"/>
        <v>2025</v>
      </c>
      <c r="E659" s="2" t="s">
        <v>1654</v>
      </c>
      <c r="F659" s="2" t="s">
        <v>38</v>
      </c>
      <c r="G659" s="2" t="s">
        <v>13</v>
      </c>
      <c r="H659" s="2" t="s">
        <v>121</v>
      </c>
      <c r="I659" s="2">
        <v>4079.29</v>
      </c>
      <c r="J659" s="2">
        <v>7</v>
      </c>
      <c r="K659" s="2">
        <v>1018.07</v>
      </c>
      <c r="L659" s="2"/>
    </row>
    <row r="660" spans="1:12" x14ac:dyDescent="0.25">
      <c r="A660" s="2" t="s">
        <v>1655</v>
      </c>
      <c r="B660" s="4" t="s">
        <v>1189</v>
      </c>
      <c r="C660" s="2" t="str">
        <f t="shared" si="20"/>
        <v>Jul</v>
      </c>
      <c r="D660" s="2">
        <f t="shared" si="21"/>
        <v>2025</v>
      </c>
      <c r="E660" s="2" t="s">
        <v>1656</v>
      </c>
      <c r="F660" s="2" t="s">
        <v>12</v>
      </c>
      <c r="G660" s="2" t="s">
        <v>13</v>
      </c>
      <c r="H660" s="2" t="s">
        <v>121</v>
      </c>
      <c r="I660" s="2">
        <v>10400.31</v>
      </c>
      <c r="J660" s="2">
        <v>2</v>
      </c>
      <c r="K660" s="2">
        <v>2479.54</v>
      </c>
      <c r="L660" s="2"/>
    </row>
    <row r="661" spans="1:12" x14ac:dyDescent="0.25">
      <c r="A661" s="2" t="s">
        <v>1657</v>
      </c>
      <c r="B661" s="4" t="s">
        <v>45</v>
      </c>
      <c r="C661" s="2" t="str">
        <f t="shared" si="20"/>
        <v>Aug</v>
      </c>
      <c r="D661" s="2">
        <f t="shared" si="21"/>
        <v>2025</v>
      </c>
      <c r="E661" s="2" t="s">
        <v>1658</v>
      </c>
      <c r="F661" s="2" t="s">
        <v>12</v>
      </c>
      <c r="G661" s="2" t="s">
        <v>19</v>
      </c>
      <c r="H661" s="2" t="s">
        <v>43</v>
      </c>
      <c r="I661" s="2">
        <v>30664.38</v>
      </c>
      <c r="J661" s="2">
        <v>7</v>
      </c>
      <c r="K661" s="2">
        <v>160.74</v>
      </c>
      <c r="L661" s="2"/>
    </row>
    <row r="662" spans="1:12" x14ac:dyDescent="0.25">
      <c r="A662" s="2" t="s">
        <v>1659</v>
      </c>
      <c r="B662" s="4" t="s">
        <v>984</v>
      </c>
      <c r="C662" s="2" t="str">
        <f t="shared" si="20"/>
        <v>Mar</v>
      </c>
      <c r="D662" s="2">
        <f t="shared" si="21"/>
        <v>2025</v>
      </c>
      <c r="E662" s="2" t="s">
        <v>1660</v>
      </c>
      <c r="F662" s="2" t="s">
        <v>38</v>
      </c>
      <c r="G662" s="2" t="s">
        <v>13</v>
      </c>
      <c r="H662" s="2" t="s">
        <v>121</v>
      </c>
      <c r="I662" s="2">
        <v>11823.03</v>
      </c>
      <c r="J662" s="2">
        <v>4</v>
      </c>
      <c r="K662" s="2">
        <v>1850.38</v>
      </c>
      <c r="L662" s="2"/>
    </row>
    <row r="663" spans="1:12" x14ac:dyDescent="0.25">
      <c r="A663" s="2" t="s">
        <v>1661</v>
      </c>
      <c r="B663" s="4" t="s">
        <v>526</v>
      </c>
      <c r="C663" s="2" t="str">
        <f t="shared" si="20"/>
        <v>Jun</v>
      </c>
      <c r="D663" s="2">
        <f t="shared" si="21"/>
        <v>2025</v>
      </c>
      <c r="E663" s="2" t="s">
        <v>1662</v>
      </c>
      <c r="F663" s="2" t="s">
        <v>18</v>
      </c>
      <c r="G663" s="2" t="s">
        <v>13</v>
      </c>
      <c r="H663" s="2" t="s">
        <v>77</v>
      </c>
      <c r="I663" s="2">
        <v>33926.089999999997</v>
      </c>
      <c r="J663" s="2">
        <v>4</v>
      </c>
      <c r="K663" s="2">
        <v>9138.23</v>
      </c>
      <c r="L663" s="2"/>
    </row>
    <row r="664" spans="1:12" x14ac:dyDescent="0.25">
      <c r="A664" s="2" t="s">
        <v>1663</v>
      </c>
      <c r="B664" s="4" t="s">
        <v>1600</v>
      </c>
      <c r="C664" s="2" t="str">
        <f t="shared" si="20"/>
        <v>May</v>
      </c>
      <c r="D664" s="2">
        <f t="shared" si="21"/>
        <v>2025</v>
      </c>
      <c r="E664" s="2" t="s">
        <v>1664</v>
      </c>
      <c r="F664" s="2" t="s">
        <v>42</v>
      </c>
      <c r="G664" s="2" t="s">
        <v>19</v>
      </c>
      <c r="H664" s="2" t="s">
        <v>59</v>
      </c>
      <c r="I664" s="2">
        <v>29887.759999999998</v>
      </c>
      <c r="J664" s="2">
        <v>2</v>
      </c>
      <c r="K664" s="2">
        <v>-295.04000000000002</v>
      </c>
      <c r="L664" s="2"/>
    </row>
    <row r="665" spans="1:12" x14ac:dyDescent="0.25">
      <c r="A665" s="2" t="s">
        <v>1665</v>
      </c>
      <c r="B665" s="4" t="s">
        <v>329</v>
      </c>
      <c r="C665" s="2" t="str">
        <f t="shared" si="20"/>
        <v>Jul</v>
      </c>
      <c r="D665" s="2">
        <f t="shared" si="21"/>
        <v>2025</v>
      </c>
      <c r="E665" s="2" t="s">
        <v>1666</v>
      </c>
      <c r="F665" s="2" t="s">
        <v>12</v>
      </c>
      <c r="G665" s="2" t="s">
        <v>54</v>
      </c>
      <c r="H665" s="2" t="s">
        <v>55</v>
      </c>
      <c r="I665" s="2">
        <v>44688.37</v>
      </c>
      <c r="J665" s="2">
        <v>9</v>
      </c>
      <c r="K665" s="2">
        <v>12868.59</v>
      </c>
      <c r="L665" s="2"/>
    </row>
    <row r="666" spans="1:12" x14ac:dyDescent="0.25">
      <c r="A666" s="2" t="s">
        <v>1667</v>
      </c>
      <c r="B666" s="4" t="s">
        <v>1167</v>
      </c>
      <c r="C666" s="2" t="str">
        <f t="shared" si="20"/>
        <v>Aug</v>
      </c>
      <c r="D666" s="2">
        <f t="shared" si="21"/>
        <v>2025</v>
      </c>
      <c r="E666" s="2" t="s">
        <v>1668</v>
      </c>
      <c r="F666" s="2" t="s">
        <v>12</v>
      </c>
      <c r="G666" s="2" t="s">
        <v>13</v>
      </c>
      <c r="H666" s="2" t="s">
        <v>14</v>
      </c>
      <c r="I666" s="2">
        <v>32569.59</v>
      </c>
      <c r="J666" s="2">
        <v>4</v>
      </c>
      <c r="K666" s="2">
        <v>9587.84</v>
      </c>
      <c r="L666" s="2"/>
    </row>
    <row r="667" spans="1:12" x14ac:dyDescent="0.25">
      <c r="A667" s="2" t="s">
        <v>1669</v>
      </c>
      <c r="B667" s="4" t="s">
        <v>123</v>
      </c>
      <c r="C667" s="2" t="str">
        <f t="shared" si="20"/>
        <v>Jan</v>
      </c>
      <c r="D667" s="2">
        <f t="shared" si="21"/>
        <v>2025</v>
      </c>
      <c r="E667" s="2" t="s">
        <v>1670</v>
      </c>
      <c r="F667" s="2" t="s">
        <v>97</v>
      </c>
      <c r="G667" s="2" t="s">
        <v>25</v>
      </c>
      <c r="H667" s="2" t="s">
        <v>26</v>
      </c>
      <c r="I667" s="2">
        <v>4555.9799999999996</v>
      </c>
      <c r="J667" s="2">
        <v>6</v>
      </c>
      <c r="K667" s="2">
        <v>1080.8800000000001</v>
      </c>
      <c r="L667" s="2"/>
    </row>
    <row r="668" spans="1:12" x14ac:dyDescent="0.25">
      <c r="A668" s="2" t="s">
        <v>1671</v>
      </c>
      <c r="B668" s="4" t="s">
        <v>375</v>
      </c>
      <c r="C668" s="2" t="str">
        <f t="shared" si="20"/>
        <v>Oct</v>
      </c>
      <c r="D668" s="2">
        <f t="shared" si="21"/>
        <v>2025</v>
      </c>
      <c r="E668" s="2" t="s">
        <v>1672</v>
      </c>
      <c r="F668" s="2" t="s">
        <v>12</v>
      </c>
      <c r="G668" s="2" t="s">
        <v>19</v>
      </c>
      <c r="H668" s="2" t="s">
        <v>43</v>
      </c>
      <c r="I668" s="2">
        <v>44363.07</v>
      </c>
      <c r="J668" s="2">
        <v>3</v>
      </c>
      <c r="K668" s="2">
        <v>13308.85</v>
      </c>
      <c r="L668" s="2"/>
    </row>
    <row r="669" spans="1:12" x14ac:dyDescent="0.25">
      <c r="A669" s="2" t="s">
        <v>1673</v>
      </c>
      <c r="B669" s="4" t="s">
        <v>1250</v>
      </c>
      <c r="C669" s="2" t="str">
        <f t="shared" si="20"/>
        <v>Feb</v>
      </c>
      <c r="D669" s="2">
        <f t="shared" si="21"/>
        <v>2025</v>
      </c>
      <c r="E669" s="2" t="s">
        <v>1674</v>
      </c>
      <c r="F669" s="2" t="s">
        <v>24</v>
      </c>
      <c r="G669" s="2" t="s">
        <v>25</v>
      </c>
      <c r="H669" s="2" t="s">
        <v>365</v>
      </c>
      <c r="I669" s="2">
        <v>10014.94</v>
      </c>
      <c r="J669" s="2">
        <v>7</v>
      </c>
      <c r="K669" s="2">
        <v>1816.08</v>
      </c>
      <c r="L669" s="2"/>
    </row>
    <row r="670" spans="1:12" x14ac:dyDescent="0.25">
      <c r="A670" s="2" t="s">
        <v>1675</v>
      </c>
      <c r="B670" s="4" t="s">
        <v>217</v>
      </c>
      <c r="C670" s="2" t="str">
        <f t="shared" si="20"/>
        <v>Mar</v>
      </c>
      <c r="D670" s="2">
        <f t="shared" si="21"/>
        <v>2025</v>
      </c>
      <c r="E670" s="2" t="s">
        <v>1676</v>
      </c>
      <c r="F670" s="2" t="s">
        <v>38</v>
      </c>
      <c r="G670" s="2" t="s">
        <v>19</v>
      </c>
      <c r="H670" s="2" t="s">
        <v>101</v>
      </c>
      <c r="I670" s="2">
        <v>1538.97</v>
      </c>
      <c r="J670" s="2">
        <v>1</v>
      </c>
      <c r="K670" s="2">
        <v>-30.57</v>
      </c>
      <c r="L670" s="2"/>
    </row>
    <row r="671" spans="1:12" x14ac:dyDescent="0.25">
      <c r="A671" s="2" t="s">
        <v>1677</v>
      </c>
      <c r="B671" s="4" t="s">
        <v>443</v>
      </c>
      <c r="C671" s="2" t="str">
        <f t="shared" si="20"/>
        <v>Jan</v>
      </c>
      <c r="D671" s="2">
        <f t="shared" si="21"/>
        <v>2025</v>
      </c>
      <c r="E671" s="2" t="s">
        <v>1678</v>
      </c>
      <c r="F671" s="2" t="s">
        <v>24</v>
      </c>
      <c r="G671" s="2" t="s">
        <v>13</v>
      </c>
      <c r="H671" s="2" t="s">
        <v>73</v>
      </c>
      <c r="I671" s="2">
        <v>2281.62</v>
      </c>
      <c r="J671" s="2">
        <v>1</v>
      </c>
      <c r="K671" s="2">
        <v>437.49</v>
      </c>
      <c r="L671" s="2"/>
    </row>
    <row r="672" spans="1:12" x14ac:dyDescent="0.25">
      <c r="A672" s="2" t="s">
        <v>1679</v>
      </c>
      <c r="B672" s="4" t="s">
        <v>1011</v>
      </c>
      <c r="C672" s="2" t="str">
        <f t="shared" si="20"/>
        <v>Aug</v>
      </c>
      <c r="D672" s="2">
        <f t="shared" si="21"/>
        <v>2025</v>
      </c>
      <c r="E672" s="2" t="s">
        <v>1680</v>
      </c>
      <c r="F672" s="2" t="s">
        <v>18</v>
      </c>
      <c r="G672" s="2" t="s">
        <v>19</v>
      </c>
      <c r="H672" s="2" t="s">
        <v>59</v>
      </c>
      <c r="I672" s="2">
        <v>28076.89</v>
      </c>
      <c r="J672" s="2">
        <v>4</v>
      </c>
      <c r="K672" s="2">
        <v>4814.92</v>
      </c>
      <c r="L672" s="2"/>
    </row>
    <row r="673" spans="1:12" x14ac:dyDescent="0.25">
      <c r="A673" s="2" t="s">
        <v>1681</v>
      </c>
      <c r="B673" s="4" t="s">
        <v>1682</v>
      </c>
      <c r="C673" s="2" t="str">
        <f t="shared" si="20"/>
        <v>Jun</v>
      </c>
      <c r="D673" s="2">
        <f t="shared" si="21"/>
        <v>2025</v>
      </c>
      <c r="E673" s="2" t="s">
        <v>1683</v>
      </c>
      <c r="F673" s="2" t="s">
        <v>38</v>
      </c>
      <c r="G673" s="2" t="s">
        <v>13</v>
      </c>
      <c r="H673" s="2" t="s">
        <v>77</v>
      </c>
      <c r="I673" s="2">
        <v>16573.939999999999</v>
      </c>
      <c r="J673" s="2">
        <v>2</v>
      </c>
      <c r="K673" s="2">
        <v>3453.64</v>
      </c>
      <c r="L673" s="2"/>
    </row>
    <row r="674" spans="1:12" x14ac:dyDescent="0.25">
      <c r="A674" s="2" t="s">
        <v>1684</v>
      </c>
      <c r="B674" s="4" t="s">
        <v>1218</v>
      </c>
      <c r="C674" s="2" t="str">
        <f t="shared" si="20"/>
        <v>Dec</v>
      </c>
      <c r="D674" s="2">
        <f t="shared" si="21"/>
        <v>2025</v>
      </c>
      <c r="E674" s="2" t="s">
        <v>1685</v>
      </c>
      <c r="F674" s="2" t="s">
        <v>12</v>
      </c>
      <c r="G674" s="2" t="s">
        <v>54</v>
      </c>
      <c r="H674" s="2" t="s">
        <v>138</v>
      </c>
      <c r="I674" s="2">
        <v>20335.18</v>
      </c>
      <c r="J674" s="2">
        <v>7</v>
      </c>
      <c r="K674" s="2">
        <v>1906.14</v>
      </c>
      <c r="L674" s="2"/>
    </row>
    <row r="675" spans="1:12" x14ac:dyDescent="0.25">
      <c r="A675" s="2" t="s">
        <v>1686</v>
      </c>
      <c r="B675" s="4" t="s">
        <v>1687</v>
      </c>
      <c r="C675" s="2" t="str">
        <f t="shared" si="20"/>
        <v>Feb</v>
      </c>
      <c r="D675" s="2">
        <f t="shared" si="21"/>
        <v>2025</v>
      </c>
      <c r="E675" s="2" t="s">
        <v>1688</v>
      </c>
      <c r="F675" s="2" t="s">
        <v>24</v>
      </c>
      <c r="G675" s="2" t="s">
        <v>13</v>
      </c>
      <c r="H675" s="2" t="s">
        <v>14</v>
      </c>
      <c r="I675" s="2">
        <v>14625.53</v>
      </c>
      <c r="J675" s="2">
        <v>7</v>
      </c>
      <c r="K675" s="2">
        <v>2033.37</v>
      </c>
      <c r="L675" s="2"/>
    </row>
    <row r="676" spans="1:12" x14ac:dyDescent="0.25">
      <c r="A676" s="2" t="s">
        <v>1689</v>
      </c>
      <c r="B676" s="4" t="s">
        <v>1690</v>
      </c>
      <c r="C676" s="2" t="str">
        <f t="shared" si="20"/>
        <v>Nov</v>
      </c>
      <c r="D676" s="2">
        <f t="shared" si="21"/>
        <v>2025</v>
      </c>
      <c r="E676" s="2" t="s">
        <v>1691</v>
      </c>
      <c r="F676" s="2" t="s">
        <v>12</v>
      </c>
      <c r="G676" s="2" t="s">
        <v>13</v>
      </c>
      <c r="H676" s="2" t="s">
        <v>73</v>
      </c>
      <c r="I676" s="2">
        <v>35643.279999999999</v>
      </c>
      <c r="J676" s="2">
        <v>5</v>
      </c>
      <c r="K676" s="2">
        <v>-289.83</v>
      </c>
      <c r="L676" s="2"/>
    </row>
    <row r="677" spans="1:12" x14ac:dyDescent="0.25">
      <c r="A677" s="2" t="s">
        <v>1692</v>
      </c>
      <c r="B677" s="4" t="s">
        <v>381</v>
      </c>
      <c r="C677" s="2" t="str">
        <f t="shared" si="20"/>
        <v>Dec</v>
      </c>
      <c r="D677" s="2">
        <f t="shared" si="21"/>
        <v>2025</v>
      </c>
      <c r="E677" s="2" t="s">
        <v>1693</v>
      </c>
      <c r="F677" s="2" t="s">
        <v>42</v>
      </c>
      <c r="G677" s="2" t="s">
        <v>13</v>
      </c>
      <c r="H677" s="2" t="s">
        <v>77</v>
      </c>
      <c r="I677" s="2">
        <v>29522.29</v>
      </c>
      <c r="J677" s="2">
        <v>9</v>
      </c>
      <c r="K677" s="2">
        <v>2573.96</v>
      </c>
      <c r="L677" s="2"/>
    </row>
    <row r="678" spans="1:12" x14ac:dyDescent="0.25">
      <c r="A678" s="2" t="s">
        <v>1694</v>
      </c>
      <c r="B678" s="4" t="s">
        <v>871</v>
      </c>
      <c r="C678" s="2" t="str">
        <f t="shared" si="20"/>
        <v>Oct</v>
      </c>
      <c r="D678" s="2">
        <f t="shared" si="21"/>
        <v>2025</v>
      </c>
      <c r="E678" s="2" t="s">
        <v>1695</v>
      </c>
      <c r="F678" s="2" t="s">
        <v>42</v>
      </c>
      <c r="G678" s="2" t="s">
        <v>54</v>
      </c>
      <c r="H678" s="2" t="s">
        <v>190</v>
      </c>
      <c r="I678" s="2">
        <v>37063.730000000003</v>
      </c>
      <c r="J678" s="2">
        <v>9</v>
      </c>
      <c r="K678" s="2">
        <v>10673.58</v>
      </c>
      <c r="L678" s="2"/>
    </row>
    <row r="679" spans="1:12" x14ac:dyDescent="0.25">
      <c r="A679" s="2" t="s">
        <v>1696</v>
      </c>
      <c r="B679" s="4" t="s">
        <v>1697</v>
      </c>
      <c r="C679" s="2" t="str">
        <f t="shared" si="20"/>
        <v>Oct</v>
      </c>
      <c r="D679" s="2">
        <f t="shared" si="21"/>
        <v>2025</v>
      </c>
      <c r="E679" s="2" t="s">
        <v>1698</v>
      </c>
      <c r="F679" s="2" t="s">
        <v>34</v>
      </c>
      <c r="G679" s="2" t="s">
        <v>19</v>
      </c>
      <c r="H679" s="2" t="s">
        <v>101</v>
      </c>
      <c r="I679" s="2">
        <v>17296.189999999999</v>
      </c>
      <c r="J679" s="2">
        <v>1</v>
      </c>
      <c r="K679" s="2">
        <v>398.89</v>
      </c>
      <c r="L679" s="2"/>
    </row>
    <row r="680" spans="1:12" x14ac:dyDescent="0.25">
      <c r="A680" s="2" t="s">
        <v>1699</v>
      </c>
      <c r="B680" s="4" t="s">
        <v>1221</v>
      </c>
      <c r="C680" s="2" t="str">
        <f t="shared" si="20"/>
        <v>Sep</v>
      </c>
      <c r="D680" s="2">
        <f t="shared" si="21"/>
        <v>2025</v>
      </c>
      <c r="E680" s="2" t="s">
        <v>1700</v>
      </c>
      <c r="F680" s="2" t="s">
        <v>38</v>
      </c>
      <c r="G680" s="2" t="s">
        <v>54</v>
      </c>
      <c r="H680" s="2" t="s">
        <v>190</v>
      </c>
      <c r="I680" s="2">
        <v>26485.02</v>
      </c>
      <c r="J680" s="2">
        <v>10</v>
      </c>
      <c r="K680" s="2">
        <v>-1206.99</v>
      </c>
      <c r="L680" s="2"/>
    </row>
    <row r="681" spans="1:12" x14ac:dyDescent="0.25">
      <c r="A681" s="2" t="s">
        <v>1701</v>
      </c>
      <c r="B681" s="4" t="s">
        <v>768</v>
      </c>
      <c r="C681" s="2" t="str">
        <f t="shared" si="20"/>
        <v>Nov</v>
      </c>
      <c r="D681" s="2">
        <f t="shared" si="21"/>
        <v>2025</v>
      </c>
      <c r="E681" s="2" t="s">
        <v>1702</v>
      </c>
      <c r="F681" s="2" t="s">
        <v>24</v>
      </c>
      <c r="G681" s="2" t="s">
        <v>19</v>
      </c>
      <c r="H681" s="2" t="s">
        <v>101</v>
      </c>
      <c r="I681" s="2">
        <v>41395.129999999997</v>
      </c>
      <c r="J681" s="2">
        <v>8</v>
      </c>
      <c r="K681" s="2">
        <v>7718.06</v>
      </c>
      <c r="L681" s="2"/>
    </row>
    <row r="682" spans="1:12" x14ac:dyDescent="0.25">
      <c r="A682" s="2" t="s">
        <v>1703</v>
      </c>
      <c r="B682" s="4" t="s">
        <v>1704</v>
      </c>
      <c r="C682" s="2" t="str">
        <f t="shared" si="20"/>
        <v>Aug</v>
      </c>
      <c r="D682" s="2">
        <f t="shared" si="21"/>
        <v>2025</v>
      </c>
      <c r="E682" s="2" t="s">
        <v>1705</v>
      </c>
      <c r="F682" s="2" t="s">
        <v>34</v>
      </c>
      <c r="G682" s="2" t="s">
        <v>13</v>
      </c>
      <c r="H682" s="2" t="s">
        <v>30</v>
      </c>
      <c r="I682" s="2">
        <v>10939.85</v>
      </c>
      <c r="J682" s="2">
        <v>9</v>
      </c>
      <c r="K682" s="2">
        <v>-230.07</v>
      </c>
      <c r="L682" s="2"/>
    </row>
    <row r="683" spans="1:12" x14ac:dyDescent="0.25">
      <c r="A683" s="2" t="s">
        <v>1706</v>
      </c>
      <c r="B683" s="4" t="s">
        <v>1707</v>
      </c>
      <c r="C683" s="2" t="str">
        <f t="shared" si="20"/>
        <v>Aug</v>
      </c>
      <c r="D683" s="2">
        <f t="shared" si="21"/>
        <v>2025</v>
      </c>
      <c r="E683" s="2" t="s">
        <v>1708</v>
      </c>
      <c r="F683" s="2" t="s">
        <v>97</v>
      </c>
      <c r="G683" s="2" t="s">
        <v>19</v>
      </c>
      <c r="H683" s="2" t="s">
        <v>59</v>
      </c>
      <c r="I683" s="2">
        <v>24593.33</v>
      </c>
      <c r="J683" s="2">
        <v>3</v>
      </c>
      <c r="K683" s="2">
        <v>-1025.19</v>
      </c>
      <c r="L683" s="2"/>
    </row>
    <row r="684" spans="1:12" x14ac:dyDescent="0.25">
      <c r="A684" s="2" t="s">
        <v>1709</v>
      </c>
      <c r="B684" s="4" t="s">
        <v>664</v>
      </c>
      <c r="C684" s="2" t="str">
        <f t="shared" si="20"/>
        <v>Aug</v>
      </c>
      <c r="D684" s="2">
        <f t="shared" si="21"/>
        <v>2025</v>
      </c>
      <c r="E684" s="2" t="s">
        <v>1710</v>
      </c>
      <c r="F684" s="2" t="s">
        <v>42</v>
      </c>
      <c r="G684" s="2" t="s">
        <v>25</v>
      </c>
      <c r="H684" s="2" t="s">
        <v>47</v>
      </c>
      <c r="I684" s="2">
        <v>27779.7</v>
      </c>
      <c r="J684" s="2">
        <v>5</v>
      </c>
      <c r="K684" s="2">
        <v>3122.5</v>
      </c>
      <c r="L684" s="2"/>
    </row>
    <row r="685" spans="1:12" x14ac:dyDescent="0.25">
      <c r="A685" s="2" t="s">
        <v>1711</v>
      </c>
      <c r="B685" s="4" t="s">
        <v>1537</v>
      </c>
      <c r="C685" s="2" t="str">
        <f t="shared" si="20"/>
        <v>Apr</v>
      </c>
      <c r="D685" s="2">
        <f t="shared" si="21"/>
        <v>2025</v>
      </c>
      <c r="E685" s="2" t="s">
        <v>1712</v>
      </c>
      <c r="F685" s="2" t="s">
        <v>38</v>
      </c>
      <c r="G685" s="2" t="s">
        <v>54</v>
      </c>
      <c r="H685" s="2" t="s">
        <v>84</v>
      </c>
      <c r="I685" s="2">
        <v>1831.52</v>
      </c>
      <c r="J685" s="2">
        <v>5</v>
      </c>
      <c r="K685" s="2">
        <v>245.77</v>
      </c>
      <c r="L685" s="2"/>
    </row>
    <row r="686" spans="1:12" x14ac:dyDescent="0.25">
      <c r="A686" s="2" t="s">
        <v>1713</v>
      </c>
      <c r="B686" s="4" t="s">
        <v>664</v>
      </c>
      <c r="C686" s="2" t="str">
        <f t="shared" si="20"/>
        <v>Aug</v>
      </c>
      <c r="D686" s="2">
        <f t="shared" si="21"/>
        <v>2025</v>
      </c>
      <c r="E686" s="2" t="s">
        <v>1714</v>
      </c>
      <c r="F686" s="2" t="s">
        <v>97</v>
      </c>
      <c r="G686" s="2" t="s">
        <v>54</v>
      </c>
      <c r="H686" s="2" t="s">
        <v>190</v>
      </c>
      <c r="I686" s="2">
        <v>12639.53</v>
      </c>
      <c r="J686" s="2">
        <v>7</v>
      </c>
      <c r="K686" s="2">
        <v>1322.09</v>
      </c>
      <c r="L686" s="2"/>
    </row>
    <row r="687" spans="1:12" x14ac:dyDescent="0.25">
      <c r="A687" s="2" t="s">
        <v>1715</v>
      </c>
      <c r="B687" s="4" t="s">
        <v>1098</v>
      </c>
      <c r="C687" s="2" t="str">
        <f t="shared" si="20"/>
        <v>May</v>
      </c>
      <c r="D687" s="2">
        <f t="shared" si="21"/>
        <v>2025</v>
      </c>
      <c r="E687" s="2" t="s">
        <v>1716</v>
      </c>
      <c r="F687" s="2" t="s">
        <v>18</v>
      </c>
      <c r="G687" s="2" t="s">
        <v>25</v>
      </c>
      <c r="H687" s="2" t="s">
        <v>365</v>
      </c>
      <c r="I687" s="2">
        <v>13518.74</v>
      </c>
      <c r="J687" s="2">
        <v>1</v>
      </c>
      <c r="K687" s="2">
        <v>-129.61000000000001</v>
      </c>
      <c r="L687" s="2"/>
    </row>
    <row r="688" spans="1:12" x14ac:dyDescent="0.25">
      <c r="A688" s="2" t="s">
        <v>1717</v>
      </c>
      <c r="B688" s="4" t="s">
        <v>437</v>
      </c>
      <c r="C688" s="2" t="str">
        <f t="shared" si="20"/>
        <v>May</v>
      </c>
      <c r="D688" s="2">
        <f t="shared" si="21"/>
        <v>2025</v>
      </c>
      <c r="E688" s="2" t="s">
        <v>1718</v>
      </c>
      <c r="F688" s="2" t="s">
        <v>34</v>
      </c>
      <c r="G688" s="2" t="s">
        <v>19</v>
      </c>
      <c r="H688" s="2" t="s">
        <v>43</v>
      </c>
      <c r="I688" s="2">
        <v>49577.61</v>
      </c>
      <c r="J688" s="2">
        <v>4</v>
      </c>
      <c r="K688" s="2">
        <v>14665.19</v>
      </c>
      <c r="L688" s="2"/>
    </row>
    <row r="689" spans="1:12" x14ac:dyDescent="0.25">
      <c r="A689" s="2" t="s">
        <v>1719</v>
      </c>
      <c r="B689" s="4" t="s">
        <v>337</v>
      </c>
      <c r="C689" s="2" t="str">
        <f t="shared" si="20"/>
        <v>May</v>
      </c>
      <c r="D689" s="2">
        <f t="shared" si="21"/>
        <v>2025</v>
      </c>
      <c r="E689" s="2" t="s">
        <v>1720</v>
      </c>
      <c r="F689" s="2" t="s">
        <v>42</v>
      </c>
      <c r="G689" s="2" t="s">
        <v>13</v>
      </c>
      <c r="H689" s="2" t="s">
        <v>121</v>
      </c>
      <c r="I689" s="2">
        <v>49935.57</v>
      </c>
      <c r="J689" s="2">
        <v>7</v>
      </c>
      <c r="K689" s="2">
        <v>-492.01</v>
      </c>
      <c r="L689" s="2"/>
    </row>
    <row r="690" spans="1:12" x14ac:dyDescent="0.25">
      <c r="A690" s="2" t="s">
        <v>1721</v>
      </c>
      <c r="B690" s="4" t="s">
        <v>414</v>
      </c>
      <c r="C690" s="2" t="str">
        <f t="shared" si="20"/>
        <v>Jul</v>
      </c>
      <c r="D690" s="2">
        <f t="shared" si="21"/>
        <v>2025</v>
      </c>
      <c r="E690" s="2" t="s">
        <v>1722</v>
      </c>
      <c r="F690" s="2" t="s">
        <v>42</v>
      </c>
      <c r="G690" s="2" t="s">
        <v>19</v>
      </c>
      <c r="H690" s="2" t="s">
        <v>43</v>
      </c>
      <c r="I690" s="2">
        <v>39797.019999999997</v>
      </c>
      <c r="J690" s="2">
        <v>10</v>
      </c>
      <c r="K690" s="2">
        <v>10908.13</v>
      </c>
      <c r="L690" s="2"/>
    </row>
    <row r="691" spans="1:12" x14ac:dyDescent="0.25">
      <c r="A691" s="2" t="s">
        <v>1723</v>
      </c>
      <c r="B691" s="4" t="s">
        <v>443</v>
      </c>
      <c r="C691" s="2" t="str">
        <f t="shared" si="20"/>
        <v>Jan</v>
      </c>
      <c r="D691" s="2">
        <f t="shared" si="21"/>
        <v>2025</v>
      </c>
      <c r="E691" s="2" t="s">
        <v>1724</v>
      </c>
      <c r="F691" s="2" t="s">
        <v>18</v>
      </c>
      <c r="G691" s="2" t="s">
        <v>19</v>
      </c>
      <c r="H691" s="2" t="s">
        <v>59</v>
      </c>
      <c r="I691" s="2">
        <v>34117.35</v>
      </c>
      <c r="J691" s="2">
        <v>10</v>
      </c>
      <c r="K691" s="2">
        <v>9662.4699999999993</v>
      </c>
      <c r="L691" s="2"/>
    </row>
    <row r="692" spans="1:12" x14ac:dyDescent="0.25">
      <c r="A692" s="2" t="s">
        <v>1725</v>
      </c>
      <c r="B692" s="4" t="s">
        <v>253</v>
      </c>
      <c r="C692" s="2" t="str">
        <f t="shared" si="20"/>
        <v>Jul</v>
      </c>
      <c r="D692" s="2">
        <f t="shared" si="21"/>
        <v>2025</v>
      </c>
      <c r="E692" s="2" t="s">
        <v>1726</v>
      </c>
      <c r="F692" s="2" t="s">
        <v>24</v>
      </c>
      <c r="G692" s="2" t="s">
        <v>13</v>
      </c>
      <c r="H692" s="2" t="s">
        <v>121</v>
      </c>
      <c r="I692" s="2">
        <v>9760.5300000000007</v>
      </c>
      <c r="J692" s="2">
        <v>7</v>
      </c>
      <c r="K692" s="2">
        <v>-134.19</v>
      </c>
      <c r="L692" s="2"/>
    </row>
    <row r="693" spans="1:12" x14ac:dyDescent="0.25">
      <c r="A693" s="2" t="s">
        <v>1727</v>
      </c>
      <c r="B693" s="4" t="s">
        <v>347</v>
      </c>
      <c r="C693" s="2" t="str">
        <f t="shared" si="20"/>
        <v>Apr</v>
      </c>
      <c r="D693" s="2">
        <f t="shared" si="21"/>
        <v>2025</v>
      </c>
      <c r="E693" s="2" t="s">
        <v>1728</v>
      </c>
      <c r="F693" s="2" t="s">
        <v>97</v>
      </c>
      <c r="G693" s="2" t="s">
        <v>54</v>
      </c>
      <c r="H693" s="2" t="s">
        <v>190</v>
      </c>
      <c r="I693" s="2">
        <v>10644.7</v>
      </c>
      <c r="J693" s="2">
        <v>7</v>
      </c>
      <c r="K693" s="2">
        <v>2432.42</v>
      </c>
      <c r="L693" s="2"/>
    </row>
    <row r="694" spans="1:12" x14ac:dyDescent="0.25">
      <c r="A694" s="2" t="s">
        <v>1729</v>
      </c>
      <c r="B694" s="4" t="s">
        <v>414</v>
      </c>
      <c r="C694" s="2" t="str">
        <f t="shared" si="20"/>
        <v>Jul</v>
      </c>
      <c r="D694" s="2">
        <f t="shared" si="21"/>
        <v>2025</v>
      </c>
      <c r="E694" s="2" t="s">
        <v>1730</v>
      </c>
      <c r="F694" s="2" t="s">
        <v>38</v>
      </c>
      <c r="G694" s="2" t="s">
        <v>54</v>
      </c>
      <c r="H694" s="2" t="s">
        <v>190</v>
      </c>
      <c r="I694" s="2">
        <v>28868.38</v>
      </c>
      <c r="J694" s="2">
        <v>9</v>
      </c>
      <c r="K694" s="2">
        <v>4244.25</v>
      </c>
      <c r="L694" s="2"/>
    </row>
    <row r="695" spans="1:12" x14ac:dyDescent="0.25">
      <c r="A695" s="2" t="s">
        <v>1731</v>
      </c>
      <c r="B695" s="4" t="s">
        <v>440</v>
      </c>
      <c r="C695" s="2" t="str">
        <f t="shared" si="20"/>
        <v>Jan</v>
      </c>
      <c r="D695" s="2">
        <f t="shared" si="21"/>
        <v>2025</v>
      </c>
      <c r="E695" s="2" t="s">
        <v>1732</v>
      </c>
      <c r="F695" s="2" t="s">
        <v>18</v>
      </c>
      <c r="G695" s="2" t="s">
        <v>13</v>
      </c>
      <c r="H695" s="2" t="s">
        <v>30</v>
      </c>
      <c r="I695" s="2">
        <v>11136.69</v>
      </c>
      <c r="J695" s="2">
        <v>4</v>
      </c>
      <c r="K695" s="2">
        <v>-360.42</v>
      </c>
      <c r="L695" s="2"/>
    </row>
    <row r="696" spans="1:12" x14ac:dyDescent="0.25">
      <c r="A696" s="2" t="s">
        <v>1733</v>
      </c>
      <c r="B696" s="4" t="s">
        <v>425</v>
      </c>
      <c r="C696" s="2" t="str">
        <f t="shared" si="20"/>
        <v>Aug</v>
      </c>
      <c r="D696" s="2">
        <f t="shared" si="21"/>
        <v>2025</v>
      </c>
      <c r="E696" s="2" t="s">
        <v>1734</v>
      </c>
      <c r="F696" s="2" t="s">
        <v>97</v>
      </c>
      <c r="G696" s="2" t="s">
        <v>54</v>
      </c>
      <c r="H696" s="2" t="s">
        <v>111</v>
      </c>
      <c r="I696" s="2">
        <v>18836.759999999998</v>
      </c>
      <c r="J696" s="2">
        <v>8</v>
      </c>
      <c r="K696" s="2">
        <v>-150.19</v>
      </c>
      <c r="L696" s="2"/>
    </row>
    <row r="697" spans="1:12" x14ac:dyDescent="0.25">
      <c r="A697" s="2" t="s">
        <v>1735</v>
      </c>
      <c r="B697" s="4" t="s">
        <v>408</v>
      </c>
      <c r="C697" s="2" t="str">
        <f t="shared" si="20"/>
        <v>Jun</v>
      </c>
      <c r="D697" s="2">
        <f t="shared" si="21"/>
        <v>2025</v>
      </c>
      <c r="E697" s="2" t="s">
        <v>1736</v>
      </c>
      <c r="F697" s="2" t="s">
        <v>97</v>
      </c>
      <c r="G697" s="2" t="s">
        <v>54</v>
      </c>
      <c r="H697" s="2" t="s">
        <v>138</v>
      </c>
      <c r="I697" s="2">
        <v>22582.720000000001</v>
      </c>
      <c r="J697" s="2">
        <v>7</v>
      </c>
      <c r="K697" s="2">
        <v>3996.04</v>
      </c>
      <c r="L697" s="2"/>
    </row>
    <row r="698" spans="1:12" x14ac:dyDescent="0.25">
      <c r="A698" s="2" t="s">
        <v>1737</v>
      </c>
      <c r="B698" s="4" t="s">
        <v>71</v>
      </c>
      <c r="C698" s="2" t="str">
        <f t="shared" si="20"/>
        <v>Jan</v>
      </c>
      <c r="D698" s="2">
        <f t="shared" si="21"/>
        <v>2025</v>
      </c>
      <c r="E698" s="2" t="s">
        <v>1738</v>
      </c>
      <c r="F698" s="2" t="s">
        <v>18</v>
      </c>
      <c r="G698" s="2" t="s">
        <v>54</v>
      </c>
      <c r="H698" s="2" t="s">
        <v>84</v>
      </c>
      <c r="I698" s="2">
        <v>21707.54</v>
      </c>
      <c r="J698" s="2">
        <v>10</v>
      </c>
      <c r="K698" s="2">
        <v>2863.51</v>
      </c>
      <c r="L698" s="2"/>
    </row>
    <row r="699" spans="1:12" x14ac:dyDescent="0.25">
      <c r="A699" s="2" t="s">
        <v>1739</v>
      </c>
      <c r="B699" s="4" t="s">
        <v>417</v>
      </c>
      <c r="C699" s="2" t="str">
        <f t="shared" si="20"/>
        <v>Jul</v>
      </c>
      <c r="D699" s="2">
        <f t="shared" si="21"/>
        <v>2025</v>
      </c>
      <c r="E699" s="2" t="s">
        <v>1740</v>
      </c>
      <c r="F699" s="2" t="s">
        <v>18</v>
      </c>
      <c r="G699" s="2" t="s">
        <v>25</v>
      </c>
      <c r="H699" s="2" t="s">
        <v>26</v>
      </c>
      <c r="I699" s="2">
        <v>35018.449999999997</v>
      </c>
      <c r="J699" s="2">
        <v>8</v>
      </c>
      <c r="K699" s="2">
        <v>6704.52</v>
      </c>
      <c r="L699" s="2"/>
    </row>
    <row r="700" spans="1:12" x14ac:dyDescent="0.25">
      <c r="A700" s="2" t="s">
        <v>1741</v>
      </c>
      <c r="B700" s="4" t="s">
        <v>232</v>
      </c>
      <c r="C700" s="2" t="str">
        <f t="shared" si="20"/>
        <v>Mar</v>
      </c>
      <c r="D700" s="2">
        <f t="shared" si="21"/>
        <v>2025</v>
      </c>
      <c r="E700" s="2" t="s">
        <v>1742</v>
      </c>
      <c r="F700" s="2" t="s">
        <v>38</v>
      </c>
      <c r="G700" s="2" t="s">
        <v>54</v>
      </c>
      <c r="H700" s="2" t="s">
        <v>190</v>
      </c>
      <c r="I700" s="2">
        <v>49203.15</v>
      </c>
      <c r="J700" s="2">
        <v>3</v>
      </c>
      <c r="K700" s="2">
        <v>4004.48</v>
      </c>
      <c r="L700" s="2"/>
    </row>
    <row r="701" spans="1:12" x14ac:dyDescent="0.25">
      <c r="A701" s="2" t="s">
        <v>1743</v>
      </c>
      <c r="B701" s="4" t="s">
        <v>57</v>
      </c>
      <c r="C701" s="2" t="str">
        <f t="shared" si="20"/>
        <v>Jan</v>
      </c>
      <c r="D701" s="2">
        <f t="shared" si="21"/>
        <v>2025</v>
      </c>
      <c r="E701" s="2" t="s">
        <v>1744</v>
      </c>
      <c r="F701" s="2" t="s">
        <v>38</v>
      </c>
      <c r="G701" s="2" t="s">
        <v>54</v>
      </c>
      <c r="H701" s="2" t="s">
        <v>138</v>
      </c>
      <c r="I701" s="2">
        <v>36464.57</v>
      </c>
      <c r="J701" s="2">
        <v>1</v>
      </c>
      <c r="K701" s="2">
        <v>6215.21</v>
      </c>
      <c r="L701" s="2"/>
    </row>
    <row r="702" spans="1:12" x14ac:dyDescent="0.25">
      <c r="A702" s="2" t="s">
        <v>1745</v>
      </c>
      <c r="B702" s="4" t="s">
        <v>1746</v>
      </c>
      <c r="C702" s="2" t="str">
        <f t="shared" si="20"/>
        <v>Feb</v>
      </c>
      <c r="D702" s="2">
        <f t="shared" si="21"/>
        <v>2025</v>
      </c>
      <c r="E702" s="2" t="s">
        <v>1747</v>
      </c>
      <c r="F702" s="2" t="s">
        <v>18</v>
      </c>
      <c r="G702" s="2" t="s">
        <v>13</v>
      </c>
      <c r="H702" s="2" t="s">
        <v>14</v>
      </c>
      <c r="I702" s="2">
        <v>42083.85</v>
      </c>
      <c r="J702" s="2">
        <v>2</v>
      </c>
      <c r="K702" s="2">
        <v>6897.15</v>
      </c>
      <c r="L702" s="2"/>
    </row>
    <row r="703" spans="1:12" x14ac:dyDescent="0.25">
      <c r="A703" s="2" t="s">
        <v>1748</v>
      </c>
      <c r="B703" s="4" t="s">
        <v>702</v>
      </c>
      <c r="C703" s="2" t="str">
        <f t="shared" si="20"/>
        <v>Sep</v>
      </c>
      <c r="D703" s="2">
        <f t="shared" si="21"/>
        <v>2025</v>
      </c>
      <c r="E703" s="2" t="s">
        <v>1749</v>
      </c>
      <c r="F703" s="2" t="s">
        <v>12</v>
      </c>
      <c r="G703" s="2" t="s">
        <v>13</v>
      </c>
      <c r="H703" s="2" t="s">
        <v>121</v>
      </c>
      <c r="I703" s="2">
        <v>17514.71</v>
      </c>
      <c r="J703" s="2">
        <v>9</v>
      </c>
      <c r="K703" s="2">
        <v>1435.87</v>
      </c>
      <c r="L703" s="2"/>
    </row>
    <row r="704" spans="1:12" x14ac:dyDescent="0.25">
      <c r="A704" s="2" t="s">
        <v>1750</v>
      </c>
      <c r="B704" s="4" t="s">
        <v>1197</v>
      </c>
      <c r="C704" s="2" t="str">
        <f t="shared" si="20"/>
        <v>Aug</v>
      </c>
      <c r="D704" s="2">
        <f t="shared" si="21"/>
        <v>2025</v>
      </c>
      <c r="E704" s="2" t="s">
        <v>1751</v>
      </c>
      <c r="F704" s="2" t="s">
        <v>34</v>
      </c>
      <c r="G704" s="2" t="s">
        <v>19</v>
      </c>
      <c r="H704" s="2" t="s">
        <v>59</v>
      </c>
      <c r="I704" s="2">
        <v>28208.73</v>
      </c>
      <c r="J704" s="2">
        <v>8</v>
      </c>
      <c r="K704" s="2">
        <v>407.19</v>
      </c>
      <c r="L704" s="2"/>
    </row>
    <row r="705" spans="1:12" x14ac:dyDescent="0.25">
      <c r="A705" s="2" t="s">
        <v>1752</v>
      </c>
      <c r="B705" s="4" t="s">
        <v>1753</v>
      </c>
      <c r="C705" s="2" t="str">
        <f t="shared" si="20"/>
        <v>Sep</v>
      </c>
      <c r="D705" s="2">
        <f t="shared" si="21"/>
        <v>2025</v>
      </c>
      <c r="E705" s="2" t="s">
        <v>1754</v>
      </c>
      <c r="F705" s="2" t="s">
        <v>12</v>
      </c>
      <c r="G705" s="2" t="s">
        <v>25</v>
      </c>
      <c r="H705" s="2" t="s">
        <v>26</v>
      </c>
      <c r="I705" s="2">
        <v>12513.59</v>
      </c>
      <c r="J705" s="2">
        <v>2</v>
      </c>
      <c r="K705" s="2">
        <v>3649.51</v>
      </c>
      <c r="L705" s="2"/>
    </row>
    <row r="706" spans="1:12" x14ac:dyDescent="0.25">
      <c r="A706" s="2" t="s">
        <v>1755</v>
      </c>
      <c r="B706" s="4" t="s">
        <v>680</v>
      </c>
      <c r="C706" s="2" t="str">
        <f t="shared" si="20"/>
        <v>Nov</v>
      </c>
      <c r="D706" s="2">
        <f t="shared" si="21"/>
        <v>2025</v>
      </c>
      <c r="E706" s="2" t="s">
        <v>1756</v>
      </c>
      <c r="F706" s="2" t="s">
        <v>42</v>
      </c>
      <c r="G706" s="2" t="s">
        <v>54</v>
      </c>
      <c r="H706" s="2" t="s">
        <v>111</v>
      </c>
      <c r="I706" s="2">
        <v>12188.12</v>
      </c>
      <c r="J706" s="2">
        <v>7</v>
      </c>
      <c r="K706" s="2">
        <v>3648.43</v>
      </c>
      <c r="L706" s="2"/>
    </row>
    <row r="707" spans="1:12" x14ac:dyDescent="0.25">
      <c r="A707" s="2" t="s">
        <v>1757</v>
      </c>
      <c r="B707" s="4" t="s">
        <v>140</v>
      </c>
      <c r="C707" s="2" t="str">
        <f t="shared" ref="C707:C770" si="22">TEXT(B707, "mmm")</f>
        <v>Jan</v>
      </c>
      <c r="D707" s="2">
        <f t="shared" ref="D707:D770" si="23">YEAR(B707)</f>
        <v>2025</v>
      </c>
      <c r="E707" s="2" t="s">
        <v>1758</v>
      </c>
      <c r="F707" s="2" t="s">
        <v>12</v>
      </c>
      <c r="G707" s="2" t="s">
        <v>13</v>
      </c>
      <c r="H707" s="2" t="s">
        <v>73</v>
      </c>
      <c r="I707" s="2">
        <v>9721.91</v>
      </c>
      <c r="J707" s="2">
        <v>1</v>
      </c>
      <c r="K707" s="2">
        <v>2835.94</v>
      </c>
      <c r="L707" s="2"/>
    </row>
    <row r="708" spans="1:12" x14ac:dyDescent="0.25">
      <c r="A708" s="2" t="s">
        <v>1759</v>
      </c>
      <c r="B708" s="4" t="s">
        <v>849</v>
      </c>
      <c r="C708" s="2" t="str">
        <f t="shared" si="22"/>
        <v>May</v>
      </c>
      <c r="D708" s="2">
        <f t="shared" si="23"/>
        <v>2025</v>
      </c>
      <c r="E708" s="2" t="s">
        <v>1760</v>
      </c>
      <c r="F708" s="2" t="s">
        <v>38</v>
      </c>
      <c r="G708" s="2" t="s">
        <v>25</v>
      </c>
      <c r="H708" s="2" t="s">
        <v>47</v>
      </c>
      <c r="I708" s="2">
        <v>25327.19</v>
      </c>
      <c r="J708" s="2">
        <v>4</v>
      </c>
      <c r="K708" s="2">
        <v>4157.93</v>
      </c>
      <c r="L708" s="2"/>
    </row>
    <row r="709" spans="1:12" x14ac:dyDescent="0.25">
      <c r="A709" s="2" t="s">
        <v>1761</v>
      </c>
      <c r="B709" s="4" t="s">
        <v>544</v>
      </c>
      <c r="C709" s="2" t="str">
        <f t="shared" si="22"/>
        <v>Jun</v>
      </c>
      <c r="D709" s="2">
        <f t="shared" si="23"/>
        <v>2025</v>
      </c>
      <c r="E709" s="2" t="s">
        <v>1762</v>
      </c>
      <c r="F709" s="2" t="s">
        <v>18</v>
      </c>
      <c r="G709" s="2" t="s">
        <v>25</v>
      </c>
      <c r="H709" s="2" t="s">
        <v>26</v>
      </c>
      <c r="I709" s="2">
        <v>28176.74</v>
      </c>
      <c r="J709" s="2">
        <v>2</v>
      </c>
      <c r="K709" s="2">
        <v>1060.79</v>
      </c>
      <c r="L709" s="2"/>
    </row>
    <row r="710" spans="1:12" x14ac:dyDescent="0.25">
      <c r="A710" s="2" t="s">
        <v>1763</v>
      </c>
      <c r="B710" s="4" t="s">
        <v>164</v>
      </c>
      <c r="C710" s="2" t="str">
        <f t="shared" si="22"/>
        <v>Jun</v>
      </c>
      <c r="D710" s="2">
        <f t="shared" si="23"/>
        <v>2025</v>
      </c>
      <c r="E710" s="2" t="s">
        <v>1764</v>
      </c>
      <c r="F710" s="2" t="s">
        <v>12</v>
      </c>
      <c r="G710" s="2" t="s">
        <v>25</v>
      </c>
      <c r="H710" s="2" t="s">
        <v>169</v>
      </c>
      <c r="I710" s="2">
        <v>32352.29</v>
      </c>
      <c r="J710" s="2">
        <v>4</v>
      </c>
      <c r="K710" s="2">
        <v>1064.45</v>
      </c>
      <c r="L710" s="2"/>
    </row>
    <row r="711" spans="1:12" x14ac:dyDescent="0.25">
      <c r="A711" s="2" t="s">
        <v>1765</v>
      </c>
      <c r="B711" s="4" t="s">
        <v>1355</v>
      </c>
      <c r="C711" s="2" t="str">
        <f t="shared" si="22"/>
        <v>Jan</v>
      </c>
      <c r="D711" s="2">
        <f t="shared" si="23"/>
        <v>2025</v>
      </c>
      <c r="E711" s="2" t="s">
        <v>1766</v>
      </c>
      <c r="F711" s="2" t="s">
        <v>12</v>
      </c>
      <c r="G711" s="2" t="s">
        <v>19</v>
      </c>
      <c r="H711" s="2" t="s">
        <v>43</v>
      </c>
      <c r="I711" s="2">
        <v>32230.68</v>
      </c>
      <c r="J711" s="2">
        <v>3</v>
      </c>
      <c r="K711" s="2">
        <v>3764.07</v>
      </c>
      <c r="L711" s="2"/>
    </row>
    <row r="712" spans="1:12" x14ac:dyDescent="0.25">
      <c r="A712" s="2" t="s">
        <v>1767</v>
      </c>
      <c r="B712" s="4" t="s">
        <v>977</v>
      </c>
      <c r="C712" s="2" t="str">
        <f t="shared" si="22"/>
        <v>Nov</v>
      </c>
      <c r="D712" s="2">
        <f t="shared" si="23"/>
        <v>2025</v>
      </c>
      <c r="E712" s="2" t="s">
        <v>1768</v>
      </c>
      <c r="F712" s="2" t="s">
        <v>42</v>
      </c>
      <c r="G712" s="2" t="s">
        <v>13</v>
      </c>
      <c r="H712" s="2" t="s">
        <v>121</v>
      </c>
      <c r="I712" s="2">
        <v>8614.2199999999993</v>
      </c>
      <c r="J712" s="2">
        <v>7</v>
      </c>
      <c r="K712" s="2">
        <v>161.09</v>
      </c>
      <c r="L712" s="2"/>
    </row>
    <row r="713" spans="1:12" x14ac:dyDescent="0.25">
      <c r="A713" s="2" t="s">
        <v>1769</v>
      </c>
      <c r="B713" s="4" t="s">
        <v>1204</v>
      </c>
      <c r="C713" s="2" t="str">
        <f t="shared" si="22"/>
        <v>Mar</v>
      </c>
      <c r="D713" s="2">
        <f t="shared" si="23"/>
        <v>2025</v>
      </c>
      <c r="E713" s="2" t="s">
        <v>1770</v>
      </c>
      <c r="F713" s="2" t="s">
        <v>12</v>
      </c>
      <c r="G713" s="2" t="s">
        <v>25</v>
      </c>
      <c r="H713" s="2" t="s">
        <v>47</v>
      </c>
      <c r="I713" s="2">
        <v>13210.82</v>
      </c>
      <c r="J713" s="2">
        <v>6</v>
      </c>
      <c r="K713" s="2">
        <v>2292.2399999999998</v>
      </c>
      <c r="L713" s="2"/>
    </row>
    <row r="714" spans="1:12" x14ac:dyDescent="0.25">
      <c r="A714" s="2" t="s">
        <v>1771</v>
      </c>
      <c r="B714" s="4" t="s">
        <v>674</v>
      </c>
      <c r="C714" s="2" t="str">
        <f t="shared" si="22"/>
        <v>May</v>
      </c>
      <c r="D714" s="2">
        <f t="shared" si="23"/>
        <v>2025</v>
      </c>
      <c r="E714" s="2" t="s">
        <v>1772</v>
      </c>
      <c r="F714" s="2" t="s">
        <v>42</v>
      </c>
      <c r="G714" s="2" t="s">
        <v>54</v>
      </c>
      <c r="H714" s="2" t="s">
        <v>84</v>
      </c>
      <c r="I714" s="2">
        <v>10515.91</v>
      </c>
      <c r="J714" s="2">
        <v>8</v>
      </c>
      <c r="K714" s="2">
        <v>739.06</v>
      </c>
      <c r="L714" s="2"/>
    </row>
    <row r="715" spans="1:12" x14ac:dyDescent="0.25">
      <c r="A715" s="2" t="s">
        <v>1773</v>
      </c>
      <c r="B715" s="4" t="s">
        <v>198</v>
      </c>
      <c r="C715" s="2" t="str">
        <f t="shared" si="22"/>
        <v>Aug</v>
      </c>
      <c r="D715" s="2">
        <f t="shared" si="23"/>
        <v>2025</v>
      </c>
      <c r="E715" s="2" t="s">
        <v>1774</v>
      </c>
      <c r="F715" s="2" t="s">
        <v>34</v>
      </c>
      <c r="G715" s="2" t="s">
        <v>19</v>
      </c>
      <c r="H715" s="2" t="s">
        <v>20</v>
      </c>
      <c r="I715" s="2">
        <v>40302.300000000003</v>
      </c>
      <c r="J715" s="2">
        <v>9</v>
      </c>
      <c r="K715" s="2">
        <v>5911.98</v>
      </c>
      <c r="L715" s="2"/>
    </row>
    <row r="716" spans="1:12" x14ac:dyDescent="0.25">
      <c r="A716" s="2" t="s">
        <v>1775</v>
      </c>
      <c r="B716" s="4" t="s">
        <v>1776</v>
      </c>
      <c r="C716" s="2" t="str">
        <f t="shared" si="22"/>
        <v>Jul</v>
      </c>
      <c r="D716" s="2">
        <f t="shared" si="23"/>
        <v>2025</v>
      </c>
      <c r="E716" s="2" t="s">
        <v>1353</v>
      </c>
      <c r="F716" s="2" t="s">
        <v>97</v>
      </c>
      <c r="G716" s="2" t="s">
        <v>54</v>
      </c>
      <c r="H716" s="2" t="s">
        <v>84</v>
      </c>
      <c r="I716" s="2">
        <v>1970.43</v>
      </c>
      <c r="J716" s="2">
        <v>9</v>
      </c>
      <c r="K716" s="2">
        <v>239.84</v>
      </c>
      <c r="L716" s="2"/>
    </row>
    <row r="717" spans="1:12" x14ac:dyDescent="0.25">
      <c r="A717" s="2" t="s">
        <v>1777</v>
      </c>
      <c r="B717" s="4" t="s">
        <v>765</v>
      </c>
      <c r="C717" s="2" t="str">
        <f t="shared" si="22"/>
        <v>Jul</v>
      </c>
      <c r="D717" s="2">
        <f t="shared" si="23"/>
        <v>2025</v>
      </c>
      <c r="E717" s="2" t="s">
        <v>1778</v>
      </c>
      <c r="F717" s="2" t="s">
        <v>12</v>
      </c>
      <c r="G717" s="2" t="s">
        <v>54</v>
      </c>
      <c r="H717" s="2" t="s">
        <v>55</v>
      </c>
      <c r="I717" s="2">
        <v>16530.400000000001</v>
      </c>
      <c r="J717" s="2">
        <v>1</v>
      </c>
      <c r="K717" s="2">
        <v>1521</v>
      </c>
      <c r="L717" s="2"/>
    </row>
    <row r="718" spans="1:12" x14ac:dyDescent="0.25">
      <c r="A718" s="2" t="s">
        <v>1779</v>
      </c>
      <c r="B718" s="4" t="s">
        <v>1780</v>
      </c>
      <c r="C718" s="2" t="str">
        <f t="shared" si="22"/>
        <v>May</v>
      </c>
      <c r="D718" s="2">
        <f t="shared" si="23"/>
        <v>2025</v>
      </c>
      <c r="E718" s="2" t="s">
        <v>1781</v>
      </c>
      <c r="F718" s="2" t="s">
        <v>34</v>
      </c>
      <c r="G718" s="2" t="s">
        <v>19</v>
      </c>
      <c r="H718" s="2" t="s">
        <v>20</v>
      </c>
      <c r="I718" s="2">
        <v>29902.31</v>
      </c>
      <c r="J718" s="2">
        <v>1</v>
      </c>
      <c r="K718" s="2">
        <v>554.15</v>
      </c>
      <c r="L718" s="2"/>
    </row>
    <row r="719" spans="1:12" x14ac:dyDescent="0.25">
      <c r="A719" s="2" t="s">
        <v>1782</v>
      </c>
      <c r="B719" s="4" t="s">
        <v>746</v>
      </c>
      <c r="C719" s="2" t="str">
        <f t="shared" si="22"/>
        <v>Nov</v>
      </c>
      <c r="D719" s="2">
        <f t="shared" si="23"/>
        <v>2025</v>
      </c>
      <c r="E719" s="2" t="s">
        <v>1783</v>
      </c>
      <c r="F719" s="2" t="s">
        <v>34</v>
      </c>
      <c r="G719" s="2" t="s">
        <v>54</v>
      </c>
      <c r="H719" s="2" t="s">
        <v>138</v>
      </c>
      <c r="I719" s="2">
        <v>22649.83</v>
      </c>
      <c r="J719" s="2">
        <v>9</v>
      </c>
      <c r="K719" s="2">
        <v>3778.87</v>
      </c>
      <c r="L719" s="2"/>
    </row>
    <row r="720" spans="1:12" x14ac:dyDescent="0.25">
      <c r="A720" s="2" t="s">
        <v>1784</v>
      </c>
      <c r="B720" s="4" t="s">
        <v>192</v>
      </c>
      <c r="C720" s="2" t="str">
        <f t="shared" si="22"/>
        <v>Apr</v>
      </c>
      <c r="D720" s="2">
        <f t="shared" si="23"/>
        <v>2025</v>
      </c>
      <c r="E720" s="2" t="s">
        <v>1785</v>
      </c>
      <c r="F720" s="2" t="s">
        <v>34</v>
      </c>
      <c r="G720" s="2" t="s">
        <v>25</v>
      </c>
      <c r="H720" s="2" t="s">
        <v>365</v>
      </c>
      <c r="I720" s="2">
        <v>38323.79</v>
      </c>
      <c r="J720" s="2">
        <v>3</v>
      </c>
      <c r="K720" s="2">
        <v>4051.45</v>
      </c>
      <c r="L720" s="2"/>
    </row>
    <row r="721" spans="1:12" x14ac:dyDescent="0.25">
      <c r="A721" s="2" t="s">
        <v>1786</v>
      </c>
      <c r="B721" s="4" t="s">
        <v>265</v>
      </c>
      <c r="C721" s="2" t="str">
        <f t="shared" si="22"/>
        <v>Nov</v>
      </c>
      <c r="D721" s="2">
        <f t="shared" si="23"/>
        <v>2025</v>
      </c>
      <c r="E721" s="2" t="s">
        <v>1787</v>
      </c>
      <c r="F721" s="2" t="s">
        <v>12</v>
      </c>
      <c r="G721" s="2" t="s">
        <v>25</v>
      </c>
      <c r="H721" s="2" t="s">
        <v>365</v>
      </c>
      <c r="I721" s="2">
        <v>41553.53</v>
      </c>
      <c r="J721" s="2">
        <v>6</v>
      </c>
      <c r="K721" s="2">
        <v>3686.2</v>
      </c>
      <c r="L721" s="2"/>
    </row>
    <row r="722" spans="1:12" x14ac:dyDescent="0.25">
      <c r="A722" s="2" t="s">
        <v>1788</v>
      </c>
      <c r="B722" s="4" t="s">
        <v>323</v>
      </c>
      <c r="C722" s="2" t="str">
        <f t="shared" si="22"/>
        <v>Nov</v>
      </c>
      <c r="D722" s="2">
        <f t="shared" si="23"/>
        <v>2025</v>
      </c>
      <c r="E722" s="2" t="s">
        <v>1789</v>
      </c>
      <c r="F722" s="2" t="s">
        <v>97</v>
      </c>
      <c r="G722" s="2" t="s">
        <v>25</v>
      </c>
      <c r="H722" s="2" t="s">
        <v>365</v>
      </c>
      <c r="I722" s="2">
        <v>38817.879999999997</v>
      </c>
      <c r="J722" s="2">
        <v>6</v>
      </c>
      <c r="K722" s="2">
        <v>9843.0400000000009</v>
      </c>
      <c r="L722" s="2"/>
    </row>
    <row r="723" spans="1:12" x14ac:dyDescent="0.25">
      <c r="A723" s="2" t="s">
        <v>1790</v>
      </c>
      <c r="B723" s="4" t="s">
        <v>932</v>
      </c>
      <c r="C723" s="2" t="str">
        <f t="shared" si="22"/>
        <v>Nov</v>
      </c>
      <c r="D723" s="2">
        <f t="shared" si="23"/>
        <v>2025</v>
      </c>
      <c r="E723" s="2" t="s">
        <v>1791</v>
      </c>
      <c r="F723" s="2" t="s">
        <v>34</v>
      </c>
      <c r="G723" s="2" t="s">
        <v>54</v>
      </c>
      <c r="H723" s="2" t="s">
        <v>84</v>
      </c>
      <c r="I723" s="2">
        <v>32559.06</v>
      </c>
      <c r="J723" s="2">
        <v>10</v>
      </c>
      <c r="K723" s="2">
        <v>2659.47</v>
      </c>
      <c r="L723" s="2"/>
    </row>
    <row r="724" spans="1:12" x14ac:dyDescent="0.25">
      <c r="A724" s="2" t="s">
        <v>1792</v>
      </c>
      <c r="B724" s="4" t="s">
        <v>707</v>
      </c>
      <c r="C724" s="2" t="str">
        <f t="shared" si="22"/>
        <v>Sep</v>
      </c>
      <c r="D724" s="2">
        <f t="shared" si="23"/>
        <v>2025</v>
      </c>
      <c r="E724" s="2" t="s">
        <v>1793</v>
      </c>
      <c r="F724" s="2" t="s">
        <v>18</v>
      </c>
      <c r="G724" s="2" t="s">
        <v>19</v>
      </c>
      <c r="H724" s="2" t="s">
        <v>59</v>
      </c>
      <c r="I724" s="2">
        <v>24396.5</v>
      </c>
      <c r="J724" s="2">
        <v>5</v>
      </c>
      <c r="K724" s="2">
        <v>610.27</v>
      </c>
      <c r="L724" s="2"/>
    </row>
    <row r="725" spans="1:12" x14ac:dyDescent="0.25">
      <c r="A725" s="2" t="s">
        <v>1794</v>
      </c>
      <c r="B725" s="4" t="s">
        <v>1795</v>
      </c>
      <c r="C725" s="2" t="str">
        <f t="shared" si="22"/>
        <v>Apr</v>
      </c>
      <c r="D725" s="2">
        <f t="shared" si="23"/>
        <v>2025</v>
      </c>
      <c r="E725" s="2" t="s">
        <v>1796</v>
      </c>
      <c r="F725" s="2" t="s">
        <v>12</v>
      </c>
      <c r="G725" s="2" t="s">
        <v>25</v>
      </c>
      <c r="H725" s="2" t="s">
        <v>47</v>
      </c>
      <c r="I725" s="2">
        <v>45780.959999999999</v>
      </c>
      <c r="J725" s="2">
        <v>10</v>
      </c>
      <c r="K725" s="2">
        <v>-482.08</v>
      </c>
      <c r="L725" s="2"/>
    </row>
    <row r="726" spans="1:12" x14ac:dyDescent="0.25">
      <c r="A726" s="2" t="s">
        <v>1797</v>
      </c>
      <c r="B726" s="4" t="s">
        <v>1289</v>
      </c>
      <c r="C726" s="2" t="str">
        <f t="shared" si="22"/>
        <v>Nov</v>
      </c>
      <c r="D726" s="2">
        <f t="shared" si="23"/>
        <v>2025</v>
      </c>
      <c r="E726" s="2" t="s">
        <v>1798</v>
      </c>
      <c r="F726" s="2" t="s">
        <v>97</v>
      </c>
      <c r="G726" s="2" t="s">
        <v>25</v>
      </c>
      <c r="H726" s="2" t="s">
        <v>169</v>
      </c>
      <c r="I726" s="2">
        <v>42581.77</v>
      </c>
      <c r="J726" s="2">
        <v>2</v>
      </c>
      <c r="K726" s="2">
        <v>8794.82</v>
      </c>
      <c r="L726" s="2"/>
    </row>
    <row r="727" spans="1:12" x14ac:dyDescent="0.25">
      <c r="A727" s="2" t="s">
        <v>1799</v>
      </c>
      <c r="B727" s="4" t="s">
        <v>400</v>
      </c>
      <c r="C727" s="2" t="str">
        <f t="shared" si="22"/>
        <v>Feb</v>
      </c>
      <c r="D727" s="2">
        <f t="shared" si="23"/>
        <v>2025</v>
      </c>
      <c r="E727" s="2" t="s">
        <v>1800</v>
      </c>
      <c r="F727" s="2" t="s">
        <v>34</v>
      </c>
      <c r="G727" s="2" t="s">
        <v>13</v>
      </c>
      <c r="H727" s="2" t="s">
        <v>121</v>
      </c>
      <c r="I727" s="2">
        <v>49185.45</v>
      </c>
      <c r="J727" s="2">
        <v>6</v>
      </c>
      <c r="K727" s="2">
        <v>2034.56</v>
      </c>
      <c r="L727" s="2"/>
    </row>
    <row r="728" spans="1:12" x14ac:dyDescent="0.25">
      <c r="A728" s="2" t="s">
        <v>1801</v>
      </c>
      <c r="B728" s="4" t="s">
        <v>507</v>
      </c>
      <c r="C728" s="2" t="str">
        <f t="shared" si="22"/>
        <v>Apr</v>
      </c>
      <c r="D728" s="2">
        <f t="shared" si="23"/>
        <v>2025</v>
      </c>
      <c r="E728" s="2" t="s">
        <v>1802</v>
      </c>
      <c r="F728" s="2" t="s">
        <v>24</v>
      </c>
      <c r="G728" s="2" t="s">
        <v>19</v>
      </c>
      <c r="H728" s="2" t="s">
        <v>20</v>
      </c>
      <c r="I728" s="2">
        <v>2675.72</v>
      </c>
      <c r="J728" s="2">
        <v>10</v>
      </c>
      <c r="K728" s="2">
        <v>92.87</v>
      </c>
      <c r="L728" s="2"/>
    </row>
    <row r="729" spans="1:12" x14ac:dyDescent="0.25">
      <c r="A729" s="2" t="s">
        <v>1803</v>
      </c>
      <c r="B729" s="4" t="s">
        <v>397</v>
      </c>
      <c r="C729" s="2" t="str">
        <f t="shared" si="22"/>
        <v>Dec</v>
      </c>
      <c r="D729" s="2">
        <f t="shared" si="23"/>
        <v>2025</v>
      </c>
      <c r="E729" s="2" t="s">
        <v>1804</v>
      </c>
      <c r="F729" s="2" t="s">
        <v>42</v>
      </c>
      <c r="G729" s="2" t="s">
        <v>19</v>
      </c>
      <c r="H729" s="2" t="s">
        <v>101</v>
      </c>
      <c r="I729" s="2">
        <v>47271.27</v>
      </c>
      <c r="J729" s="2">
        <v>3</v>
      </c>
      <c r="K729" s="2">
        <v>9207.4699999999993</v>
      </c>
      <c r="L729" s="2"/>
    </row>
    <row r="730" spans="1:12" x14ac:dyDescent="0.25">
      <c r="A730" s="2" t="s">
        <v>1805</v>
      </c>
      <c r="B730" s="4" t="s">
        <v>1806</v>
      </c>
      <c r="C730" s="2" t="str">
        <f t="shared" si="22"/>
        <v>Oct</v>
      </c>
      <c r="D730" s="2">
        <f t="shared" si="23"/>
        <v>2025</v>
      </c>
      <c r="E730" s="2" t="s">
        <v>1807</v>
      </c>
      <c r="F730" s="2" t="s">
        <v>42</v>
      </c>
      <c r="G730" s="2" t="s">
        <v>54</v>
      </c>
      <c r="H730" s="2" t="s">
        <v>111</v>
      </c>
      <c r="I730" s="2">
        <v>28416.32</v>
      </c>
      <c r="J730" s="2">
        <v>2</v>
      </c>
      <c r="K730" s="2">
        <v>2230.67</v>
      </c>
      <c r="L730" s="2"/>
    </row>
    <row r="731" spans="1:12" x14ac:dyDescent="0.25">
      <c r="A731" s="2" t="s">
        <v>1808</v>
      </c>
      <c r="B731" s="4" t="s">
        <v>334</v>
      </c>
      <c r="C731" s="2" t="str">
        <f t="shared" si="22"/>
        <v>Oct</v>
      </c>
      <c r="D731" s="2">
        <f t="shared" si="23"/>
        <v>2025</v>
      </c>
      <c r="E731" s="2" t="s">
        <v>1809</v>
      </c>
      <c r="F731" s="2" t="s">
        <v>24</v>
      </c>
      <c r="G731" s="2" t="s">
        <v>19</v>
      </c>
      <c r="H731" s="2" t="s">
        <v>63</v>
      </c>
      <c r="I731" s="2">
        <v>22098.29</v>
      </c>
      <c r="J731" s="2">
        <v>9</v>
      </c>
      <c r="K731" s="2">
        <v>182.56</v>
      </c>
      <c r="L731" s="2"/>
    </row>
    <row r="732" spans="1:12" x14ac:dyDescent="0.25">
      <c r="A732" s="2" t="s">
        <v>1810</v>
      </c>
      <c r="B732" s="4" t="s">
        <v>405</v>
      </c>
      <c r="C732" s="2" t="str">
        <f t="shared" si="22"/>
        <v>Mar</v>
      </c>
      <c r="D732" s="2">
        <f t="shared" si="23"/>
        <v>2025</v>
      </c>
      <c r="E732" s="2" t="s">
        <v>1811</v>
      </c>
      <c r="F732" s="2" t="s">
        <v>42</v>
      </c>
      <c r="G732" s="2" t="s">
        <v>25</v>
      </c>
      <c r="H732" s="2" t="s">
        <v>47</v>
      </c>
      <c r="I732" s="2">
        <v>9413.6</v>
      </c>
      <c r="J732" s="2">
        <v>6</v>
      </c>
      <c r="K732" s="2">
        <v>-288.08999999999997</v>
      </c>
      <c r="L732" s="2"/>
    </row>
    <row r="733" spans="1:12" x14ac:dyDescent="0.25">
      <c r="A733" s="2" t="s">
        <v>1812</v>
      </c>
      <c r="B733" s="4" t="s">
        <v>592</v>
      </c>
      <c r="C733" s="2" t="str">
        <f t="shared" si="22"/>
        <v>Apr</v>
      </c>
      <c r="D733" s="2">
        <f t="shared" si="23"/>
        <v>2025</v>
      </c>
      <c r="E733" s="2" t="s">
        <v>1813</v>
      </c>
      <c r="F733" s="2" t="s">
        <v>38</v>
      </c>
      <c r="G733" s="2" t="s">
        <v>25</v>
      </c>
      <c r="H733" s="2" t="s">
        <v>154</v>
      </c>
      <c r="I733" s="2">
        <v>10984.38</v>
      </c>
      <c r="J733" s="2">
        <v>9</v>
      </c>
      <c r="K733" s="2">
        <v>923.13</v>
      </c>
      <c r="L733" s="2"/>
    </row>
    <row r="734" spans="1:12" x14ac:dyDescent="0.25">
      <c r="A734" s="2" t="s">
        <v>1814</v>
      </c>
      <c r="B734" s="4" t="s">
        <v>1146</v>
      </c>
      <c r="C734" s="2" t="str">
        <f t="shared" si="22"/>
        <v>May</v>
      </c>
      <c r="D734" s="2">
        <f t="shared" si="23"/>
        <v>2025</v>
      </c>
      <c r="E734" s="2" t="s">
        <v>1815</v>
      </c>
      <c r="F734" s="2" t="s">
        <v>97</v>
      </c>
      <c r="G734" s="2" t="s">
        <v>19</v>
      </c>
      <c r="H734" s="2" t="s">
        <v>101</v>
      </c>
      <c r="I734" s="2">
        <v>37091.160000000003</v>
      </c>
      <c r="J734" s="2">
        <v>8</v>
      </c>
      <c r="K734" s="2">
        <v>289.13</v>
      </c>
      <c r="L734" s="2"/>
    </row>
    <row r="735" spans="1:12" x14ac:dyDescent="0.25">
      <c r="A735" s="2" t="s">
        <v>1816</v>
      </c>
      <c r="B735" s="4" t="s">
        <v>103</v>
      </c>
      <c r="C735" s="2" t="str">
        <f t="shared" si="22"/>
        <v>Aug</v>
      </c>
      <c r="D735" s="2">
        <f t="shared" si="23"/>
        <v>2025</v>
      </c>
      <c r="E735" s="2" t="s">
        <v>1817</v>
      </c>
      <c r="F735" s="2" t="s">
        <v>38</v>
      </c>
      <c r="G735" s="2" t="s">
        <v>25</v>
      </c>
      <c r="H735" s="2" t="s">
        <v>365</v>
      </c>
      <c r="I735" s="2">
        <v>40509.72</v>
      </c>
      <c r="J735" s="2">
        <v>9</v>
      </c>
      <c r="K735" s="2">
        <v>11690.26</v>
      </c>
      <c r="L735" s="2"/>
    </row>
    <row r="736" spans="1:12" x14ac:dyDescent="0.25">
      <c r="A736" s="2" t="s">
        <v>1818</v>
      </c>
      <c r="B736" s="4" t="s">
        <v>428</v>
      </c>
      <c r="C736" s="2" t="str">
        <f t="shared" si="22"/>
        <v>Dec</v>
      </c>
      <c r="D736" s="2">
        <f t="shared" si="23"/>
        <v>2025</v>
      </c>
      <c r="E736" s="2" t="s">
        <v>1819</v>
      </c>
      <c r="F736" s="2" t="s">
        <v>12</v>
      </c>
      <c r="G736" s="2" t="s">
        <v>13</v>
      </c>
      <c r="H736" s="2" t="s">
        <v>30</v>
      </c>
      <c r="I736" s="2">
        <v>12630.55</v>
      </c>
      <c r="J736" s="2">
        <v>1</v>
      </c>
      <c r="K736" s="2">
        <v>311.38</v>
      </c>
      <c r="L736" s="2"/>
    </row>
    <row r="737" spans="1:12" x14ac:dyDescent="0.25">
      <c r="A737" s="2" t="s">
        <v>1820</v>
      </c>
      <c r="B737" s="4" t="s">
        <v>1189</v>
      </c>
      <c r="C737" s="2" t="str">
        <f t="shared" si="22"/>
        <v>Jul</v>
      </c>
      <c r="D737" s="2">
        <f t="shared" si="23"/>
        <v>2025</v>
      </c>
      <c r="E737" s="2" t="s">
        <v>1821</v>
      </c>
      <c r="F737" s="2" t="s">
        <v>38</v>
      </c>
      <c r="G737" s="2" t="s">
        <v>25</v>
      </c>
      <c r="H737" s="2" t="s">
        <v>169</v>
      </c>
      <c r="I737" s="2">
        <v>36118.410000000003</v>
      </c>
      <c r="J737" s="2">
        <v>4</v>
      </c>
      <c r="K737" s="2">
        <v>4637.4799999999996</v>
      </c>
      <c r="L737" s="2"/>
    </row>
    <row r="738" spans="1:12" x14ac:dyDescent="0.25">
      <c r="A738" s="2" t="s">
        <v>1822</v>
      </c>
      <c r="B738" s="4" t="s">
        <v>723</v>
      </c>
      <c r="C738" s="2" t="str">
        <f t="shared" si="22"/>
        <v>Feb</v>
      </c>
      <c r="D738" s="2">
        <f t="shared" si="23"/>
        <v>2025</v>
      </c>
      <c r="E738" s="2" t="s">
        <v>1823</v>
      </c>
      <c r="F738" s="2" t="s">
        <v>24</v>
      </c>
      <c r="G738" s="2" t="s">
        <v>25</v>
      </c>
      <c r="H738" s="2" t="s">
        <v>47</v>
      </c>
      <c r="I738" s="2">
        <v>42496.3</v>
      </c>
      <c r="J738" s="2">
        <v>2</v>
      </c>
      <c r="K738" s="2">
        <v>2625.62</v>
      </c>
      <c r="L738" s="2"/>
    </row>
    <row r="739" spans="1:12" x14ac:dyDescent="0.25">
      <c r="A739" s="2" t="s">
        <v>1824</v>
      </c>
      <c r="B739" s="4" t="s">
        <v>394</v>
      </c>
      <c r="C739" s="2" t="str">
        <f t="shared" si="22"/>
        <v>Jan</v>
      </c>
      <c r="D739" s="2">
        <f t="shared" si="23"/>
        <v>2025</v>
      </c>
      <c r="E739" s="2" t="s">
        <v>1825</v>
      </c>
      <c r="F739" s="2" t="s">
        <v>12</v>
      </c>
      <c r="G739" s="2" t="s">
        <v>19</v>
      </c>
      <c r="H739" s="2" t="s">
        <v>59</v>
      </c>
      <c r="I739" s="2">
        <v>11604.06</v>
      </c>
      <c r="J739" s="2">
        <v>5</v>
      </c>
      <c r="K739" s="2">
        <v>481.42</v>
      </c>
      <c r="L739" s="2"/>
    </row>
    <row r="740" spans="1:12" x14ac:dyDescent="0.25">
      <c r="A740" s="2" t="s">
        <v>1826</v>
      </c>
      <c r="B740" s="4" t="s">
        <v>353</v>
      </c>
      <c r="C740" s="2" t="str">
        <f t="shared" si="22"/>
        <v>Apr</v>
      </c>
      <c r="D740" s="2">
        <f t="shared" si="23"/>
        <v>2025</v>
      </c>
      <c r="E740" s="2" t="s">
        <v>1827</v>
      </c>
      <c r="F740" s="2" t="s">
        <v>38</v>
      </c>
      <c r="G740" s="2" t="s">
        <v>19</v>
      </c>
      <c r="H740" s="2" t="s">
        <v>101</v>
      </c>
      <c r="I740" s="2">
        <v>1022.95</v>
      </c>
      <c r="J740" s="2">
        <v>3</v>
      </c>
      <c r="K740" s="2">
        <v>131.76</v>
      </c>
      <c r="L740" s="2"/>
    </row>
    <row r="741" spans="1:12" x14ac:dyDescent="0.25">
      <c r="A741" s="2" t="s">
        <v>1828</v>
      </c>
      <c r="B741" s="4" t="s">
        <v>1181</v>
      </c>
      <c r="C741" s="2" t="str">
        <f t="shared" si="22"/>
        <v>Mar</v>
      </c>
      <c r="D741" s="2">
        <f t="shared" si="23"/>
        <v>2025</v>
      </c>
      <c r="E741" s="2" t="s">
        <v>1829</v>
      </c>
      <c r="F741" s="2" t="s">
        <v>34</v>
      </c>
      <c r="G741" s="2" t="s">
        <v>25</v>
      </c>
      <c r="H741" s="2" t="s">
        <v>169</v>
      </c>
      <c r="I741" s="2">
        <v>4629.32</v>
      </c>
      <c r="J741" s="2">
        <v>9</v>
      </c>
      <c r="K741" s="2">
        <v>402.23</v>
      </c>
      <c r="L741" s="2"/>
    </row>
    <row r="742" spans="1:12" x14ac:dyDescent="0.25">
      <c r="A742" s="2" t="s">
        <v>1830</v>
      </c>
      <c r="B742" s="4" t="s">
        <v>1136</v>
      </c>
      <c r="C742" s="2" t="str">
        <f t="shared" si="22"/>
        <v>Apr</v>
      </c>
      <c r="D742" s="2">
        <f t="shared" si="23"/>
        <v>2025</v>
      </c>
      <c r="E742" s="2" t="s">
        <v>1383</v>
      </c>
      <c r="F742" s="2" t="s">
        <v>12</v>
      </c>
      <c r="G742" s="2" t="s">
        <v>19</v>
      </c>
      <c r="H742" s="2" t="s">
        <v>63</v>
      </c>
      <c r="I742" s="2">
        <v>8734.34</v>
      </c>
      <c r="J742" s="2">
        <v>10</v>
      </c>
      <c r="K742" s="2">
        <v>107.2</v>
      </c>
      <c r="L742" s="2"/>
    </row>
    <row r="743" spans="1:12" x14ac:dyDescent="0.25">
      <c r="A743" s="2" t="s">
        <v>1831</v>
      </c>
      <c r="B743" s="4" t="s">
        <v>1682</v>
      </c>
      <c r="C743" s="2" t="str">
        <f t="shared" si="22"/>
        <v>Jun</v>
      </c>
      <c r="D743" s="2">
        <f t="shared" si="23"/>
        <v>2025</v>
      </c>
      <c r="E743" s="2" t="s">
        <v>1832</v>
      </c>
      <c r="F743" s="2" t="s">
        <v>97</v>
      </c>
      <c r="G743" s="2" t="s">
        <v>19</v>
      </c>
      <c r="H743" s="2" t="s">
        <v>63</v>
      </c>
      <c r="I743" s="2">
        <v>4854.63</v>
      </c>
      <c r="J743" s="2">
        <v>4</v>
      </c>
      <c r="K743" s="2">
        <v>306.75</v>
      </c>
      <c r="L743" s="2"/>
    </row>
    <row r="744" spans="1:12" x14ac:dyDescent="0.25">
      <c r="A744" s="2" t="s">
        <v>1833</v>
      </c>
      <c r="B744" s="4" t="s">
        <v>589</v>
      </c>
      <c r="C744" s="2" t="str">
        <f t="shared" si="22"/>
        <v>Jan</v>
      </c>
      <c r="D744" s="2">
        <f t="shared" si="23"/>
        <v>2025</v>
      </c>
      <c r="E744" s="2" t="s">
        <v>1834</v>
      </c>
      <c r="F744" s="2" t="s">
        <v>12</v>
      </c>
      <c r="G744" s="2" t="s">
        <v>19</v>
      </c>
      <c r="H744" s="2" t="s">
        <v>101</v>
      </c>
      <c r="I744" s="2">
        <v>26709.06</v>
      </c>
      <c r="J744" s="2">
        <v>1</v>
      </c>
      <c r="K744" s="2">
        <v>7386.83</v>
      </c>
      <c r="L744" s="2"/>
    </row>
    <row r="745" spans="1:12" x14ac:dyDescent="0.25">
      <c r="A745" s="2" t="s">
        <v>1835</v>
      </c>
      <c r="B745" s="4" t="s">
        <v>1087</v>
      </c>
      <c r="C745" s="2" t="str">
        <f t="shared" si="22"/>
        <v>Oct</v>
      </c>
      <c r="D745" s="2">
        <f t="shared" si="23"/>
        <v>2025</v>
      </c>
      <c r="E745" s="2" t="s">
        <v>1836</v>
      </c>
      <c r="F745" s="2" t="s">
        <v>97</v>
      </c>
      <c r="G745" s="2" t="s">
        <v>25</v>
      </c>
      <c r="H745" s="2" t="s">
        <v>154</v>
      </c>
      <c r="I745" s="2">
        <v>26182.2</v>
      </c>
      <c r="J745" s="2">
        <v>4</v>
      </c>
      <c r="K745" s="2">
        <v>2453.84</v>
      </c>
      <c r="L745" s="2"/>
    </row>
    <row r="746" spans="1:12" x14ac:dyDescent="0.25">
      <c r="A746" s="2" t="s">
        <v>1837</v>
      </c>
      <c r="B746" s="4" t="s">
        <v>367</v>
      </c>
      <c r="C746" s="2" t="str">
        <f t="shared" si="22"/>
        <v>Apr</v>
      </c>
      <c r="D746" s="2">
        <f t="shared" si="23"/>
        <v>2025</v>
      </c>
      <c r="E746" s="2" t="s">
        <v>1838</v>
      </c>
      <c r="F746" s="2" t="s">
        <v>42</v>
      </c>
      <c r="G746" s="2" t="s">
        <v>25</v>
      </c>
      <c r="H746" s="2" t="s">
        <v>365</v>
      </c>
      <c r="I746" s="2">
        <v>45307.66</v>
      </c>
      <c r="J746" s="2">
        <v>5</v>
      </c>
      <c r="K746" s="2">
        <v>1159.29</v>
      </c>
      <c r="L746" s="2"/>
    </row>
    <row r="747" spans="1:12" x14ac:dyDescent="0.25">
      <c r="A747" s="2" t="s">
        <v>1839</v>
      </c>
      <c r="B747" s="4" t="s">
        <v>1518</v>
      </c>
      <c r="C747" s="2" t="str">
        <f t="shared" si="22"/>
        <v>Aug</v>
      </c>
      <c r="D747" s="2">
        <f t="shared" si="23"/>
        <v>2025</v>
      </c>
      <c r="E747" s="2" t="s">
        <v>1840</v>
      </c>
      <c r="F747" s="2" t="s">
        <v>18</v>
      </c>
      <c r="G747" s="2" t="s">
        <v>25</v>
      </c>
      <c r="H747" s="2" t="s">
        <v>365</v>
      </c>
      <c r="I747" s="2">
        <v>11140.47</v>
      </c>
      <c r="J747" s="2">
        <v>6</v>
      </c>
      <c r="K747" s="2">
        <v>2158.71</v>
      </c>
      <c r="L747" s="2"/>
    </row>
    <row r="748" spans="1:12" x14ac:dyDescent="0.25">
      <c r="A748" s="2" t="s">
        <v>1841</v>
      </c>
      <c r="B748" s="4" t="s">
        <v>367</v>
      </c>
      <c r="C748" s="2" t="str">
        <f t="shared" si="22"/>
        <v>Apr</v>
      </c>
      <c r="D748" s="2">
        <f t="shared" si="23"/>
        <v>2025</v>
      </c>
      <c r="E748" s="2" t="s">
        <v>1842</v>
      </c>
      <c r="F748" s="2" t="s">
        <v>12</v>
      </c>
      <c r="G748" s="2" t="s">
        <v>19</v>
      </c>
      <c r="H748" s="2" t="s">
        <v>43</v>
      </c>
      <c r="I748" s="2">
        <v>22975.54</v>
      </c>
      <c r="J748" s="2">
        <v>6</v>
      </c>
      <c r="K748" s="2">
        <v>-320.20999999999998</v>
      </c>
      <c r="L748" s="2"/>
    </row>
    <row r="749" spans="1:12" x14ac:dyDescent="0.25">
      <c r="A749" s="2" t="s">
        <v>1843</v>
      </c>
      <c r="B749" s="4" t="s">
        <v>626</v>
      </c>
      <c r="C749" s="2" t="str">
        <f t="shared" si="22"/>
        <v>Jul</v>
      </c>
      <c r="D749" s="2">
        <f t="shared" si="23"/>
        <v>2025</v>
      </c>
      <c r="E749" s="2" t="s">
        <v>1844</v>
      </c>
      <c r="F749" s="2" t="s">
        <v>18</v>
      </c>
      <c r="G749" s="2" t="s">
        <v>19</v>
      </c>
      <c r="H749" s="2" t="s">
        <v>59</v>
      </c>
      <c r="I749" s="2">
        <v>23533.58</v>
      </c>
      <c r="J749" s="2">
        <v>6</v>
      </c>
      <c r="K749" s="2">
        <v>-1157.2</v>
      </c>
      <c r="L749" s="2"/>
    </row>
    <row r="750" spans="1:12" x14ac:dyDescent="0.25">
      <c r="A750" s="2" t="s">
        <v>1845</v>
      </c>
      <c r="B750" s="4" t="s">
        <v>226</v>
      </c>
      <c r="C750" s="2" t="str">
        <f t="shared" si="22"/>
        <v>Feb</v>
      </c>
      <c r="D750" s="2">
        <f t="shared" si="23"/>
        <v>2025</v>
      </c>
      <c r="E750" s="2" t="s">
        <v>1846</v>
      </c>
      <c r="F750" s="2" t="s">
        <v>24</v>
      </c>
      <c r="G750" s="2" t="s">
        <v>19</v>
      </c>
      <c r="H750" s="2" t="s">
        <v>20</v>
      </c>
      <c r="I750" s="2">
        <v>43435.1</v>
      </c>
      <c r="J750" s="2">
        <v>3</v>
      </c>
      <c r="K750" s="2">
        <v>5962.15</v>
      </c>
      <c r="L750" s="2"/>
    </row>
    <row r="751" spans="1:12" x14ac:dyDescent="0.25">
      <c r="A751" s="2" t="s">
        <v>1847</v>
      </c>
      <c r="B751" s="4" t="s">
        <v>61</v>
      </c>
      <c r="C751" s="2" t="str">
        <f t="shared" si="22"/>
        <v>May</v>
      </c>
      <c r="D751" s="2">
        <f t="shared" si="23"/>
        <v>2025</v>
      </c>
      <c r="E751" s="2" t="s">
        <v>1848</v>
      </c>
      <c r="F751" s="2" t="s">
        <v>18</v>
      </c>
      <c r="G751" s="2" t="s">
        <v>54</v>
      </c>
      <c r="H751" s="2" t="s">
        <v>138</v>
      </c>
      <c r="I751" s="2">
        <v>1128.77</v>
      </c>
      <c r="J751" s="2">
        <v>2</v>
      </c>
      <c r="K751" s="2">
        <v>176.35</v>
      </c>
      <c r="L751" s="2"/>
    </row>
    <row r="752" spans="1:12" x14ac:dyDescent="0.25">
      <c r="A752" s="2" t="s">
        <v>1849</v>
      </c>
      <c r="B752" s="4" t="s">
        <v>1850</v>
      </c>
      <c r="C752" s="2" t="str">
        <f t="shared" si="22"/>
        <v>Feb</v>
      </c>
      <c r="D752" s="2">
        <f t="shared" si="23"/>
        <v>2025</v>
      </c>
      <c r="E752" s="2" t="s">
        <v>1851</v>
      </c>
      <c r="F752" s="2" t="s">
        <v>12</v>
      </c>
      <c r="G752" s="2" t="s">
        <v>25</v>
      </c>
      <c r="H752" s="2" t="s">
        <v>47</v>
      </c>
      <c r="I752" s="2">
        <v>25306.01</v>
      </c>
      <c r="J752" s="2">
        <v>4</v>
      </c>
      <c r="K752" s="2">
        <v>4031.28</v>
      </c>
      <c r="L752" s="2"/>
    </row>
    <row r="753" spans="1:12" x14ac:dyDescent="0.25">
      <c r="A753" s="2" t="s">
        <v>1852</v>
      </c>
      <c r="B753" s="4" t="s">
        <v>1853</v>
      </c>
      <c r="C753" s="2" t="str">
        <f t="shared" si="22"/>
        <v>Jun</v>
      </c>
      <c r="D753" s="2">
        <f t="shared" si="23"/>
        <v>2025</v>
      </c>
      <c r="E753" s="2" t="s">
        <v>1854</v>
      </c>
      <c r="F753" s="2" t="s">
        <v>34</v>
      </c>
      <c r="G753" s="2" t="s">
        <v>13</v>
      </c>
      <c r="H753" s="2" t="s">
        <v>14</v>
      </c>
      <c r="I753" s="2">
        <v>24805.57</v>
      </c>
      <c r="J753" s="2">
        <v>10</v>
      </c>
      <c r="K753" s="2">
        <v>-526.44000000000005</v>
      </c>
      <c r="L753" s="2"/>
    </row>
    <row r="754" spans="1:12" x14ac:dyDescent="0.25">
      <c r="A754" s="2" t="s">
        <v>1855</v>
      </c>
      <c r="B754" s="4" t="s">
        <v>119</v>
      </c>
      <c r="C754" s="2" t="str">
        <f t="shared" si="22"/>
        <v>Aug</v>
      </c>
      <c r="D754" s="2">
        <f t="shared" si="23"/>
        <v>2025</v>
      </c>
      <c r="E754" s="2" t="s">
        <v>1856</v>
      </c>
      <c r="F754" s="2" t="s">
        <v>38</v>
      </c>
      <c r="G754" s="2" t="s">
        <v>25</v>
      </c>
      <c r="H754" s="2" t="s">
        <v>47</v>
      </c>
      <c r="I754" s="2">
        <v>43065.67</v>
      </c>
      <c r="J754" s="2">
        <v>6</v>
      </c>
      <c r="K754" s="2">
        <v>6040.93</v>
      </c>
      <c r="L754" s="2"/>
    </row>
    <row r="755" spans="1:12" x14ac:dyDescent="0.25">
      <c r="A755" s="2" t="s">
        <v>1857</v>
      </c>
      <c r="B755" s="4" t="s">
        <v>1858</v>
      </c>
      <c r="C755" s="2" t="str">
        <f t="shared" si="22"/>
        <v>Aug</v>
      </c>
      <c r="D755" s="2">
        <f t="shared" si="23"/>
        <v>2025</v>
      </c>
      <c r="E755" s="2" t="s">
        <v>1859</v>
      </c>
      <c r="F755" s="2" t="s">
        <v>42</v>
      </c>
      <c r="G755" s="2" t="s">
        <v>25</v>
      </c>
      <c r="H755" s="2" t="s">
        <v>26</v>
      </c>
      <c r="I755" s="2">
        <v>35392.33</v>
      </c>
      <c r="J755" s="2">
        <v>3</v>
      </c>
      <c r="K755" s="2">
        <v>6277.45</v>
      </c>
      <c r="L755" s="2"/>
    </row>
    <row r="756" spans="1:12" x14ac:dyDescent="0.25">
      <c r="A756" s="2" t="s">
        <v>1860</v>
      </c>
      <c r="B756" s="4" t="s">
        <v>1861</v>
      </c>
      <c r="C756" s="2" t="str">
        <f t="shared" si="22"/>
        <v>May</v>
      </c>
      <c r="D756" s="2">
        <f t="shared" si="23"/>
        <v>2025</v>
      </c>
      <c r="E756" s="2" t="s">
        <v>1862</v>
      </c>
      <c r="F756" s="2" t="s">
        <v>38</v>
      </c>
      <c r="G756" s="2" t="s">
        <v>25</v>
      </c>
      <c r="H756" s="2" t="s">
        <v>26</v>
      </c>
      <c r="I756" s="2">
        <v>1013.59</v>
      </c>
      <c r="J756" s="2">
        <v>10</v>
      </c>
      <c r="K756" s="2">
        <v>27.83</v>
      </c>
      <c r="L756" s="2"/>
    </row>
    <row r="757" spans="1:12" x14ac:dyDescent="0.25">
      <c r="A757" s="2" t="s">
        <v>1863</v>
      </c>
      <c r="B757" s="4" t="s">
        <v>1058</v>
      </c>
      <c r="C757" s="2" t="str">
        <f t="shared" si="22"/>
        <v>May</v>
      </c>
      <c r="D757" s="2">
        <f t="shared" si="23"/>
        <v>2025</v>
      </c>
      <c r="E757" s="2" t="s">
        <v>1864</v>
      </c>
      <c r="F757" s="2" t="s">
        <v>18</v>
      </c>
      <c r="G757" s="2" t="s">
        <v>25</v>
      </c>
      <c r="H757" s="2" t="s">
        <v>26</v>
      </c>
      <c r="I757" s="2">
        <v>10321.42</v>
      </c>
      <c r="J757" s="2">
        <v>8</v>
      </c>
      <c r="K757" s="2">
        <v>58.56</v>
      </c>
      <c r="L757" s="2"/>
    </row>
    <row r="758" spans="1:12" x14ac:dyDescent="0.25">
      <c r="A758" s="2" t="s">
        <v>1865</v>
      </c>
      <c r="B758" s="4" t="s">
        <v>405</v>
      </c>
      <c r="C758" s="2" t="str">
        <f t="shared" si="22"/>
        <v>Mar</v>
      </c>
      <c r="D758" s="2">
        <f t="shared" si="23"/>
        <v>2025</v>
      </c>
      <c r="E758" s="2" t="s">
        <v>1866</v>
      </c>
      <c r="F758" s="2" t="s">
        <v>97</v>
      </c>
      <c r="G758" s="2" t="s">
        <v>13</v>
      </c>
      <c r="H758" s="2" t="s">
        <v>77</v>
      </c>
      <c r="I758" s="2">
        <v>8307.19</v>
      </c>
      <c r="J758" s="2">
        <v>8</v>
      </c>
      <c r="K758" s="2">
        <v>2382.2199999999998</v>
      </c>
      <c r="L758" s="2"/>
    </row>
    <row r="759" spans="1:12" x14ac:dyDescent="0.25">
      <c r="A759" s="2" t="s">
        <v>1867</v>
      </c>
      <c r="B759" s="4" t="s">
        <v>1868</v>
      </c>
      <c r="C759" s="2" t="str">
        <f t="shared" si="22"/>
        <v>Feb</v>
      </c>
      <c r="D759" s="2">
        <f t="shared" si="23"/>
        <v>2025</v>
      </c>
      <c r="E759" s="2" t="s">
        <v>1869</v>
      </c>
      <c r="F759" s="2" t="s">
        <v>18</v>
      </c>
      <c r="G759" s="2" t="s">
        <v>13</v>
      </c>
      <c r="H759" s="2" t="s">
        <v>77</v>
      </c>
      <c r="I759" s="2">
        <v>42341.11</v>
      </c>
      <c r="J759" s="2">
        <v>7</v>
      </c>
      <c r="K759" s="2">
        <v>924.16</v>
      </c>
      <c r="L759" s="2"/>
    </row>
    <row r="760" spans="1:12" x14ac:dyDescent="0.25">
      <c r="A760" s="2" t="s">
        <v>1870</v>
      </c>
      <c r="B760" s="4" t="s">
        <v>1178</v>
      </c>
      <c r="C760" s="2" t="str">
        <f t="shared" si="22"/>
        <v>Apr</v>
      </c>
      <c r="D760" s="2">
        <f t="shared" si="23"/>
        <v>2025</v>
      </c>
      <c r="E760" s="2" t="s">
        <v>1871</v>
      </c>
      <c r="F760" s="2" t="s">
        <v>18</v>
      </c>
      <c r="G760" s="2" t="s">
        <v>25</v>
      </c>
      <c r="H760" s="2" t="s">
        <v>169</v>
      </c>
      <c r="I760" s="2">
        <v>30108.11</v>
      </c>
      <c r="J760" s="2">
        <v>3</v>
      </c>
      <c r="K760" s="2">
        <v>1442.36</v>
      </c>
      <c r="L760" s="2"/>
    </row>
    <row r="761" spans="1:12" x14ac:dyDescent="0.25">
      <c r="A761" s="2" t="s">
        <v>1872</v>
      </c>
      <c r="B761" s="4" t="s">
        <v>177</v>
      </c>
      <c r="C761" s="2" t="str">
        <f t="shared" si="22"/>
        <v>Jun</v>
      </c>
      <c r="D761" s="2">
        <f t="shared" si="23"/>
        <v>2025</v>
      </c>
      <c r="E761" s="2" t="s">
        <v>1873</v>
      </c>
      <c r="F761" s="2" t="s">
        <v>12</v>
      </c>
      <c r="G761" s="2" t="s">
        <v>54</v>
      </c>
      <c r="H761" s="2" t="s">
        <v>111</v>
      </c>
      <c r="I761" s="2">
        <v>44265.23</v>
      </c>
      <c r="J761" s="2">
        <v>9</v>
      </c>
      <c r="K761" s="2">
        <v>11051.35</v>
      </c>
      <c r="L761" s="2"/>
    </row>
    <row r="762" spans="1:12" x14ac:dyDescent="0.25">
      <c r="A762" s="2" t="s">
        <v>1874</v>
      </c>
      <c r="B762" s="4" t="s">
        <v>1389</v>
      </c>
      <c r="C762" s="2" t="str">
        <f t="shared" si="22"/>
        <v>Mar</v>
      </c>
      <c r="D762" s="2">
        <f t="shared" si="23"/>
        <v>2025</v>
      </c>
      <c r="E762" s="2" t="s">
        <v>1875</v>
      </c>
      <c r="F762" s="2" t="s">
        <v>97</v>
      </c>
      <c r="G762" s="2" t="s">
        <v>13</v>
      </c>
      <c r="H762" s="2" t="s">
        <v>77</v>
      </c>
      <c r="I762" s="2">
        <v>35385.57</v>
      </c>
      <c r="J762" s="2">
        <v>3</v>
      </c>
      <c r="K762" s="2">
        <v>7954.16</v>
      </c>
      <c r="L762" s="2"/>
    </row>
    <row r="763" spans="1:12" x14ac:dyDescent="0.25">
      <c r="A763" s="2" t="s">
        <v>1876</v>
      </c>
      <c r="B763" s="4" t="s">
        <v>92</v>
      </c>
      <c r="C763" s="2" t="str">
        <f t="shared" si="22"/>
        <v>Feb</v>
      </c>
      <c r="D763" s="2">
        <f t="shared" si="23"/>
        <v>2025</v>
      </c>
      <c r="E763" s="2" t="s">
        <v>1877</v>
      </c>
      <c r="F763" s="2" t="s">
        <v>12</v>
      </c>
      <c r="G763" s="2" t="s">
        <v>19</v>
      </c>
      <c r="H763" s="2" t="s">
        <v>20</v>
      </c>
      <c r="I763" s="2">
        <v>15736.92</v>
      </c>
      <c r="J763" s="2">
        <v>3</v>
      </c>
      <c r="K763" s="2">
        <v>738.81</v>
      </c>
      <c r="L763" s="2"/>
    </row>
    <row r="764" spans="1:12" x14ac:dyDescent="0.25">
      <c r="A764" s="2" t="s">
        <v>1878</v>
      </c>
      <c r="B764" s="4" t="s">
        <v>1579</v>
      </c>
      <c r="C764" s="2" t="str">
        <f t="shared" si="22"/>
        <v>Jul</v>
      </c>
      <c r="D764" s="2">
        <f t="shared" si="23"/>
        <v>2025</v>
      </c>
      <c r="E764" s="2" t="s">
        <v>1879</v>
      </c>
      <c r="F764" s="2" t="s">
        <v>38</v>
      </c>
      <c r="G764" s="2" t="s">
        <v>19</v>
      </c>
      <c r="H764" s="2" t="s">
        <v>59</v>
      </c>
      <c r="I764" s="2">
        <v>1173.6600000000001</v>
      </c>
      <c r="J764" s="2">
        <v>9</v>
      </c>
      <c r="K764" s="2">
        <v>287.12</v>
      </c>
      <c r="L764" s="2"/>
    </row>
    <row r="765" spans="1:12" x14ac:dyDescent="0.25">
      <c r="A765" s="2" t="s">
        <v>1880</v>
      </c>
      <c r="B765" s="4" t="s">
        <v>256</v>
      </c>
      <c r="C765" s="2" t="str">
        <f t="shared" si="22"/>
        <v>Jan</v>
      </c>
      <c r="D765" s="2">
        <f t="shared" si="23"/>
        <v>2025</v>
      </c>
      <c r="E765" s="2" t="s">
        <v>153</v>
      </c>
      <c r="F765" s="2" t="s">
        <v>12</v>
      </c>
      <c r="G765" s="2" t="s">
        <v>13</v>
      </c>
      <c r="H765" s="2" t="s">
        <v>14</v>
      </c>
      <c r="I765" s="2">
        <v>33746.75</v>
      </c>
      <c r="J765" s="2">
        <v>6</v>
      </c>
      <c r="K765" s="2">
        <v>1028.26</v>
      </c>
      <c r="L765" s="2"/>
    </row>
    <row r="766" spans="1:12" x14ac:dyDescent="0.25">
      <c r="A766" s="2" t="s">
        <v>1881</v>
      </c>
      <c r="B766" s="4" t="s">
        <v>265</v>
      </c>
      <c r="C766" s="2" t="str">
        <f t="shared" si="22"/>
        <v>Nov</v>
      </c>
      <c r="D766" s="2">
        <f t="shared" si="23"/>
        <v>2025</v>
      </c>
      <c r="E766" s="2" t="s">
        <v>1882</v>
      </c>
      <c r="F766" s="2" t="s">
        <v>42</v>
      </c>
      <c r="G766" s="2" t="s">
        <v>25</v>
      </c>
      <c r="H766" s="2" t="s">
        <v>169</v>
      </c>
      <c r="I766" s="2">
        <v>2855.18</v>
      </c>
      <c r="J766" s="2">
        <v>3</v>
      </c>
      <c r="K766" s="2">
        <v>-127.93</v>
      </c>
      <c r="L766" s="2"/>
    </row>
    <row r="767" spans="1:12" x14ac:dyDescent="0.25">
      <c r="A767" s="2" t="s">
        <v>1883</v>
      </c>
      <c r="B767" s="4" t="s">
        <v>10</v>
      </c>
      <c r="C767" s="2" t="str">
        <f t="shared" si="22"/>
        <v>Jun</v>
      </c>
      <c r="D767" s="2">
        <f t="shared" si="23"/>
        <v>2025</v>
      </c>
      <c r="E767" s="2" t="s">
        <v>1884</v>
      </c>
      <c r="F767" s="2" t="s">
        <v>97</v>
      </c>
      <c r="G767" s="2" t="s">
        <v>19</v>
      </c>
      <c r="H767" s="2" t="s">
        <v>59</v>
      </c>
      <c r="I767" s="2">
        <v>19107.32</v>
      </c>
      <c r="J767" s="2">
        <v>9</v>
      </c>
      <c r="K767" s="2">
        <v>1081.48</v>
      </c>
      <c r="L767" s="2"/>
    </row>
    <row r="768" spans="1:12" x14ac:dyDescent="0.25">
      <c r="A768" s="2" t="s">
        <v>1885</v>
      </c>
      <c r="B768" s="4" t="s">
        <v>951</v>
      </c>
      <c r="C768" s="2" t="str">
        <f t="shared" si="22"/>
        <v>Oct</v>
      </c>
      <c r="D768" s="2">
        <f t="shared" si="23"/>
        <v>2025</v>
      </c>
      <c r="E768" s="2" t="s">
        <v>1886</v>
      </c>
      <c r="F768" s="2" t="s">
        <v>24</v>
      </c>
      <c r="G768" s="2" t="s">
        <v>54</v>
      </c>
      <c r="H768" s="2" t="s">
        <v>138</v>
      </c>
      <c r="I768" s="2">
        <v>24000.52</v>
      </c>
      <c r="J768" s="2">
        <v>7</v>
      </c>
      <c r="K768" s="2">
        <v>4161.03</v>
      </c>
      <c r="L768" s="2"/>
    </row>
    <row r="769" spans="1:12" x14ac:dyDescent="0.25">
      <c r="A769" s="2" t="s">
        <v>1887</v>
      </c>
      <c r="B769" s="4" t="s">
        <v>109</v>
      </c>
      <c r="C769" s="2" t="str">
        <f t="shared" si="22"/>
        <v>Aug</v>
      </c>
      <c r="D769" s="2">
        <f t="shared" si="23"/>
        <v>2025</v>
      </c>
      <c r="E769" s="2" t="s">
        <v>1888</v>
      </c>
      <c r="F769" s="2" t="s">
        <v>12</v>
      </c>
      <c r="G769" s="2" t="s">
        <v>13</v>
      </c>
      <c r="H769" s="2" t="s">
        <v>121</v>
      </c>
      <c r="I769" s="2">
        <v>3252.54</v>
      </c>
      <c r="J769" s="2">
        <v>3</v>
      </c>
      <c r="K769" s="2">
        <v>941.49</v>
      </c>
      <c r="L769" s="2"/>
    </row>
    <row r="770" spans="1:12" x14ac:dyDescent="0.25">
      <c r="A770" s="2" t="s">
        <v>1889</v>
      </c>
      <c r="B770" s="4" t="s">
        <v>1077</v>
      </c>
      <c r="C770" s="2" t="str">
        <f t="shared" si="22"/>
        <v>Feb</v>
      </c>
      <c r="D770" s="2">
        <f t="shared" si="23"/>
        <v>2025</v>
      </c>
      <c r="E770" s="2" t="s">
        <v>1890</v>
      </c>
      <c r="F770" s="2" t="s">
        <v>97</v>
      </c>
      <c r="G770" s="2" t="s">
        <v>13</v>
      </c>
      <c r="H770" s="2" t="s">
        <v>14</v>
      </c>
      <c r="I770" s="2">
        <v>34923.910000000003</v>
      </c>
      <c r="J770" s="2">
        <v>9</v>
      </c>
      <c r="K770" s="2">
        <v>4452.41</v>
      </c>
      <c r="L770" s="2"/>
    </row>
    <row r="771" spans="1:12" x14ac:dyDescent="0.25">
      <c r="A771" s="2" t="s">
        <v>1891</v>
      </c>
      <c r="B771" s="4" t="s">
        <v>782</v>
      </c>
      <c r="C771" s="2" t="str">
        <f t="shared" ref="C771:C834" si="24">TEXT(B771, "mmm")</f>
        <v>Apr</v>
      </c>
      <c r="D771" s="2">
        <f t="shared" ref="D771:D834" si="25">YEAR(B771)</f>
        <v>2025</v>
      </c>
      <c r="E771" s="2" t="s">
        <v>1892</v>
      </c>
      <c r="F771" s="2" t="s">
        <v>34</v>
      </c>
      <c r="G771" s="2" t="s">
        <v>54</v>
      </c>
      <c r="H771" s="2" t="s">
        <v>55</v>
      </c>
      <c r="I771" s="2">
        <v>24534.76</v>
      </c>
      <c r="J771" s="2">
        <v>1</v>
      </c>
      <c r="K771" s="2">
        <v>3938.73</v>
      </c>
      <c r="L771" s="2"/>
    </row>
    <row r="772" spans="1:12" x14ac:dyDescent="0.25">
      <c r="A772" s="2" t="s">
        <v>1893</v>
      </c>
      <c r="B772" s="4" t="s">
        <v>1087</v>
      </c>
      <c r="C772" s="2" t="str">
        <f t="shared" si="24"/>
        <v>Oct</v>
      </c>
      <c r="D772" s="2">
        <f t="shared" si="25"/>
        <v>2025</v>
      </c>
      <c r="E772" s="2" t="s">
        <v>1894</v>
      </c>
      <c r="F772" s="2" t="s">
        <v>24</v>
      </c>
      <c r="G772" s="2" t="s">
        <v>19</v>
      </c>
      <c r="H772" s="2" t="s">
        <v>63</v>
      </c>
      <c r="I772" s="2">
        <v>19391.45</v>
      </c>
      <c r="J772" s="2">
        <v>4</v>
      </c>
      <c r="K772" s="2">
        <v>2759.58</v>
      </c>
      <c r="L772" s="2"/>
    </row>
    <row r="773" spans="1:12" x14ac:dyDescent="0.25">
      <c r="A773" s="2" t="s">
        <v>1895</v>
      </c>
      <c r="B773" s="4" t="s">
        <v>217</v>
      </c>
      <c r="C773" s="2" t="str">
        <f t="shared" si="24"/>
        <v>Mar</v>
      </c>
      <c r="D773" s="2">
        <f t="shared" si="25"/>
        <v>2025</v>
      </c>
      <c r="E773" s="2" t="s">
        <v>1896</v>
      </c>
      <c r="F773" s="2" t="s">
        <v>38</v>
      </c>
      <c r="G773" s="2" t="s">
        <v>25</v>
      </c>
      <c r="H773" s="2" t="s">
        <v>365</v>
      </c>
      <c r="I773" s="2">
        <v>38035.760000000002</v>
      </c>
      <c r="J773" s="2">
        <v>8</v>
      </c>
      <c r="K773" s="2">
        <v>-806.63</v>
      </c>
      <c r="L773" s="2"/>
    </row>
    <row r="774" spans="1:12" x14ac:dyDescent="0.25">
      <c r="A774" s="2" t="s">
        <v>1897</v>
      </c>
      <c r="B774" s="4" t="s">
        <v>913</v>
      </c>
      <c r="C774" s="2" t="str">
        <f t="shared" si="24"/>
        <v>Apr</v>
      </c>
      <c r="D774" s="2">
        <f t="shared" si="25"/>
        <v>2025</v>
      </c>
      <c r="E774" s="2" t="s">
        <v>1898</v>
      </c>
      <c r="F774" s="2" t="s">
        <v>38</v>
      </c>
      <c r="G774" s="2" t="s">
        <v>54</v>
      </c>
      <c r="H774" s="2" t="s">
        <v>111</v>
      </c>
      <c r="I774" s="2">
        <v>26084.25</v>
      </c>
      <c r="J774" s="2">
        <v>9</v>
      </c>
      <c r="K774" s="2">
        <v>418.82</v>
      </c>
      <c r="L774" s="2"/>
    </row>
    <row r="775" spans="1:12" x14ac:dyDescent="0.25">
      <c r="A775" s="2" t="s">
        <v>1899</v>
      </c>
      <c r="B775" s="4" t="s">
        <v>329</v>
      </c>
      <c r="C775" s="2" t="str">
        <f t="shared" si="24"/>
        <v>Jul</v>
      </c>
      <c r="D775" s="2">
        <f t="shared" si="25"/>
        <v>2025</v>
      </c>
      <c r="E775" s="2" t="s">
        <v>1900</v>
      </c>
      <c r="F775" s="2" t="s">
        <v>18</v>
      </c>
      <c r="G775" s="2" t="s">
        <v>25</v>
      </c>
      <c r="H775" s="2" t="s">
        <v>365</v>
      </c>
      <c r="I775" s="2">
        <v>36275.519999999997</v>
      </c>
      <c r="J775" s="2">
        <v>1</v>
      </c>
      <c r="K775" s="2">
        <v>8199.0300000000007</v>
      </c>
      <c r="L775" s="2"/>
    </row>
    <row r="776" spans="1:12" x14ac:dyDescent="0.25">
      <c r="A776" s="2" t="s">
        <v>1901</v>
      </c>
      <c r="B776" s="4" t="s">
        <v>752</v>
      </c>
      <c r="C776" s="2" t="str">
        <f t="shared" si="24"/>
        <v>Mar</v>
      </c>
      <c r="D776" s="2">
        <f t="shared" si="25"/>
        <v>2025</v>
      </c>
      <c r="E776" s="2" t="s">
        <v>1902</v>
      </c>
      <c r="F776" s="2" t="s">
        <v>34</v>
      </c>
      <c r="G776" s="2" t="s">
        <v>19</v>
      </c>
      <c r="H776" s="2" t="s">
        <v>59</v>
      </c>
      <c r="I776" s="2">
        <v>31621.25</v>
      </c>
      <c r="J776" s="2">
        <v>8</v>
      </c>
      <c r="K776" s="2">
        <v>9475.2199999999993</v>
      </c>
      <c r="L776" s="2"/>
    </row>
    <row r="777" spans="1:12" x14ac:dyDescent="0.25">
      <c r="A777" s="2" t="s">
        <v>1903</v>
      </c>
      <c r="B777" s="4" t="s">
        <v>1537</v>
      </c>
      <c r="C777" s="2" t="str">
        <f t="shared" si="24"/>
        <v>Apr</v>
      </c>
      <c r="D777" s="2">
        <f t="shared" si="25"/>
        <v>2025</v>
      </c>
      <c r="E777" s="2" t="s">
        <v>1904</v>
      </c>
      <c r="F777" s="2" t="s">
        <v>38</v>
      </c>
      <c r="G777" s="2" t="s">
        <v>19</v>
      </c>
      <c r="H777" s="2" t="s">
        <v>63</v>
      </c>
      <c r="I777" s="2">
        <v>7788.35</v>
      </c>
      <c r="J777" s="2">
        <v>2</v>
      </c>
      <c r="K777" s="2">
        <v>1448.86</v>
      </c>
      <c r="L777" s="2"/>
    </row>
    <row r="778" spans="1:12" x14ac:dyDescent="0.25">
      <c r="A778" s="2" t="s">
        <v>1905</v>
      </c>
      <c r="B778" s="4" t="s">
        <v>863</v>
      </c>
      <c r="C778" s="2" t="str">
        <f t="shared" si="24"/>
        <v>Dec</v>
      </c>
      <c r="D778" s="2">
        <f t="shared" si="25"/>
        <v>2025</v>
      </c>
      <c r="E778" s="2" t="s">
        <v>1906</v>
      </c>
      <c r="F778" s="2" t="s">
        <v>42</v>
      </c>
      <c r="G778" s="2" t="s">
        <v>25</v>
      </c>
      <c r="H778" s="2" t="s">
        <v>365</v>
      </c>
      <c r="I778" s="2">
        <v>30522.400000000001</v>
      </c>
      <c r="J778" s="2">
        <v>8</v>
      </c>
      <c r="K778" s="2">
        <v>3581.78</v>
      </c>
      <c r="L778" s="2"/>
    </row>
    <row r="779" spans="1:12" x14ac:dyDescent="0.25">
      <c r="A779" s="2" t="s">
        <v>1907</v>
      </c>
      <c r="B779" s="4" t="s">
        <v>962</v>
      </c>
      <c r="C779" s="2" t="str">
        <f t="shared" si="24"/>
        <v>Jan</v>
      </c>
      <c r="D779" s="2">
        <f t="shared" si="25"/>
        <v>2025</v>
      </c>
      <c r="E779" s="2" t="s">
        <v>1908</v>
      </c>
      <c r="F779" s="2" t="s">
        <v>34</v>
      </c>
      <c r="G779" s="2" t="s">
        <v>13</v>
      </c>
      <c r="H779" s="2" t="s">
        <v>73</v>
      </c>
      <c r="I779" s="2">
        <v>34694.620000000003</v>
      </c>
      <c r="J779" s="2">
        <v>2</v>
      </c>
      <c r="K779" s="2">
        <v>-1358.86</v>
      </c>
      <c r="L779" s="2"/>
    </row>
    <row r="780" spans="1:12" x14ac:dyDescent="0.25">
      <c r="A780" s="2" t="s">
        <v>1909</v>
      </c>
      <c r="B780" s="4" t="s">
        <v>501</v>
      </c>
      <c r="C780" s="2" t="str">
        <f t="shared" si="24"/>
        <v>Jul</v>
      </c>
      <c r="D780" s="2">
        <f t="shared" si="25"/>
        <v>2025</v>
      </c>
      <c r="E780" s="2" t="s">
        <v>1910</v>
      </c>
      <c r="F780" s="2" t="s">
        <v>12</v>
      </c>
      <c r="G780" s="2" t="s">
        <v>25</v>
      </c>
      <c r="H780" s="2" t="s">
        <v>47</v>
      </c>
      <c r="I780" s="2">
        <v>46459.29</v>
      </c>
      <c r="J780" s="2">
        <v>4</v>
      </c>
      <c r="K780" s="2">
        <v>5864.73</v>
      </c>
      <c r="L780" s="2"/>
    </row>
    <row r="781" spans="1:12" x14ac:dyDescent="0.25">
      <c r="A781" s="2" t="s">
        <v>1911</v>
      </c>
      <c r="B781" s="4" t="s">
        <v>535</v>
      </c>
      <c r="C781" s="2" t="str">
        <f t="shared" si="24"/>
        <v>Apr</v>
      </c>
      <c r="D781" s="2">
        <f t="shared" si="25"/>
        <v>2025</v>
      </c>
      <c r="E781" s="2" t="s">
        <v>1912</v>
      </c>
      <c r="F781" s="2" t="s">
        <v>38</v>
      </c>
      <c r="G781" s="2" t="s">
        <v>13</v>
      </c>
      <c r="H781" s="2" t="s">
        <v>77</v>
      </c>
      <c r="I781" s="2">
        <v>41591.440000000002</v>
      </c>
      <c r="J781" s="2">
        <v>9</v>
      </c>
      <c r="K781" s="2">
        <v>7682.38</v>
      </c>
      <c r="L781" s="2"/>
    </row>
    <row r="782" spans="1:12" x14ac:dyDescent="0.25">
      <c r="A782" s="2" t="s">
        <v>1913</v>
      </c>
      <c r="B782" s="4" t="s">
        <v>323</v>
      </c>
      <c r="C782" s="2" t="str">
        <f t="shared" si="24"/>
        <v>Nov</v>
      </c>
      <c r="D782" s="2">
        <f t="shared" si="25"/>
        <v>2025</v>
      </c>
      <c r="E782" s="2" t="s">
        <v>1914</v>
      </c>
      <c r="F782" s="2" t="s">
        <v>12</v>
      </c>
      <c r="G782" s="2" t="s">
        <v>54</v>
      </c>
      <c r="H782" s="2" t="s">
        <v>190</v>
      </c>
      <c r="I782" s="2">
        <v>34932.43</v>
      </c>
      <c r="J782" s="2">
        <v>1</v>
      </c>
      <c r="K782" s="2">
        <v>4625.76</v>
      </c>
      <c r="L782" s="2"/>
    </row>
    <row r="783" spans="1:12" x14ac:dyDescent="0.25">
      <c r="A783" s="2" t="s">
        <v>1915</v>
      </c>
      <c r="B783" s="4" t="s">
        <v>1916</v>
      </c>
      <c r="C783" s="2" t="str">
        <f t="shared" si="24"/>
        <v>Sep</v>
      </c>
      <c r="D783" s="2">
        <f t="shared" si="25"/>
        <v>2025</v>
      </c>
      <c r="E783" s="2" t="s">
        <v>1917</v>
      </c>
      <c r="F783" s="2" t="s">
        <v>24</v>
      </c>
      <c r="G783" s="2" t="s">
        <v>25</v>
      </c>
      <c r="H783" s="2" t="s">
        <v>154</v>
      </c>
      <c r="I783" s="2">
        <v>43651.76</v>
      </c>
      <c r="J783" s="2">
        <v>5</v>
      </c>
      <c r="K783" s="2">
        <v>8778.5</v>
      </c>
      <c r="L783" s="2"/>
    </row>
    <row r="784" spans="1:12" x14ac:dyDescent="0.25">
      <c r="A784" s="2" t="s">
        <v>1918</v>
      </c>
      <c r="B784" s="4" t="s">
        <v>317</v>
      </c>
      <c r="C784" s="2" t="str">
        <f t="shared" si="24"/>
        <v>Jul</v>
      </c>
      <c r="D784" s="2">
        <f t="shared" si="25"/>
        <v>2025</v>
      </c>
      <c r="E784" s="2" t="s">
        <v>1919</v>
      </c>
      <c r="F784" s="2" t="s">
        <v>42</v>
      </c>
      <c r="G784" s="2" t="s">
        <v>19</v>
      </c>
      <c r="H784" s="2" t="s">
        <v>43</v>
      </c>
      <c r="I784" s="2">
        <v>40516.1</v>
      </c>
      <c r="J784" s="2">
        <v>6</v>
      </c>
      <c r="K784" s="2">
        <v>7722.96</v>
      </c>
      <c r="L784" s="2"/>
    </row>
    <row r="785" spans="1:12" x14ac:dyDescent="0.25">
      <c r="A785" s="2" t="s">
        <v>1920</v>
      </c>
      <c r="B785" s="4" t="s">
        <v>372</v>
      </c>
      <c r="C785" s="2" t="str">
        <f t="shared" si="24"/>
        <v>Jun</v>
      </c>
      <c r="D785" s="2">
        <f t="shared" si="25"/>
        <v>2025</v>
      </c>
      <c r="E785" s="2" t="s">
        <v>1921</v>
      </c>
      <c r="F785" s="2" t="s">
        <v>38</v>
      </c>
      <c r="G785" s="2" t="s">
        <v>13</v>
      </c>
      <c r="H785" s="2" t="s">
        <v>121</v>
      </c>
      <c r="I785" s="2">
        <v>31529.87</v>
      </c>
      <c r="J785" s="2">
        <v>4</v>
      </c>
      <c r="K785" s="2">
        <v>60.96</v>
      </c>
      <c r="L785" s="2"/>
    </row>
    <row r="786" spans="1:12" x14ac:dyDescent="0.25">
      <c r="A786" s="2" t="s">
        <v>1922</v>
      </c>
      <c r="B786" s="4" t="s">
        <v>229</v>
      </c>
      <c r="C786" s="2" t="str">
        <f t="shared" si="24"/>
        <v>Jul</v>
      </c>
      <c r="D786" s="2">
        <f t="shared" si="25"/>
        <v>2025</v>
      </c>
      <c r="E786" s="2" t="s">
        <v>1923</v>
      </c>
      <c r="F786" s="2" t="s">
        <v>38</v>
      </c>
      <c r="G786" s="2" t="s">
        <v>25</v>
      </c>
      <c r="H786" s="2" t="s">
        <v>154</v>
      </c>
      <c r="I786" s="2">
        <v>2362.5100000000002</v>
      </c>
      <c r="J786" s="2">
        <v>4</v>
      </c>
      <c r="K786" s="2">
        <v>274.89</v>
      </c>
      <c r="L786" s="2"/>
    </row>
    <row r="787" spans="1:12" x14ac:dyDescent="0.25">
      <c r="A787" s="2" t="s">
        <v>1924</v>
      </c>
      <c r="B787" s="4" t="s">
        <v>367</v>
      </c>
      <c r="C787" s="2" t="str">
        <f t="shared" si="24"/>
        <v>Apr</v>
      </c>
      <c r="D787" s="2">
        <f t="shared" si="25"/>
        <v>2025</v>
      </c>
      <c r="E787" s="2" t="s">
        <v>1925</v>
      </c>
      <c r="F787" s="2" t="s">
        <v>18</v>
      </c>
      <c r="G787" s="2" t="s">
        <v>19</v>
      </c>
      <c r="H787" s="2" t="s">
        <v>63</v>
      </c>
      <c r="I787" s="2">
        <v>44353.66</v>
      </c>
      <c r="J787" s="2">
        <v>7</v>
      </c>
      <c r="K787" s="2">
        <v>8057.42</v>
      </c>
      <c r="L787" s="2"/>
    </row>
    <row r="788" spans="1:12" x14ac:dyDescent="0.25">
      <c r="A788" s="2" t="s">
        <v>1926</v>
      </c>
      <c r="B788" s="4" t="s">
        <v>1927</v>
      </c>
      <c r="C788" s="2" t="str">
        <f t="shared" si="24"/>
        <v>Jul</v>
      </c>
      <c r="D788" s="2">
        <f t="shared" si="25"/>
        <v>2025</v>
      </c>
      <c r="E788" s="2" t="s">
        <v>1928</v>
      </c>
      <c r="F788" s="2" t="s">
        <v>18</v>
      </c>
      <c r="G788" s="2" t="s">
        <v>25</v>
      </c>
      <c r="H788" s="2" t="s">
        <v>154</v>
      </c>
      <c r="I788" s="2">
        <v>12152.78</v>
      </c>
      <c r="J788" s="2">
        <v>6</v>
      </c>
      <c r="K788" s="2">
        <v>2321.8200000000002</v>
      </c>
      <c r="L788" s="2"/>
    </row>
    <row r="789" spans="1:12" x14ac:dyDescent="0.25">
      <c r="A789" s="2" t="s">
        <v>1929</v>
      </c>
      <c r="B789" s="4" t="s">
        <v>417</v>
      </c>
      <c r="C789" s="2" t="str">
        <f t="shared" si="24"/>
        <v>Jul</v>
      </c>
      <c r="D789" s="2">
        <f t="shared" si="25"/>
        <v>2025</v>
      </c>
      <c r="E789" s="2" t="s">
        <v>1930</v>
      </c>
      <c r="F789" s="2" t="s">
        <v>12</v>
      </c>
      <c r="G789" s="2" t="s">
        <v>13</v>
      </c>
      <c r="H789" s="2" t="s">
        <v>77</v>
      </c>
      <c r="I789" s="2">
        <v>22089.27</v>
      </c>
      <c r="J789" s="2">
        <v>10</v>
      </c>
      <c r="K789" s="2">
        <v>3992.13</v>
      </c>
      <c r="L789" s="2"/>
    </row>
    <row r="790" spans="1:12" x14ac:dyDescent="0.25">
      <c r="A790" s="2" t="s">
        <v>1931</v>
      </c>
      <c r="B790" s="4" t="s">
        <v>1690</v>
      </c>
      <c r="C790" s="2" t="str">
        <f t="shared" si="24"/>
        <v>Nov</v>
      </c>
      <c r="D790" s="2">
        <f t="shared" si="25"/>
        <v>2025</v>
      </c>
      <c r="E790" s="2" t="s">
        <v>1932</v>
      </c>
      <c r="F790" s="2" t="s">
        <v>24</v>
      </c>
      <c r="G790" s="2" t="s">
        <v>54</v>
      </c>
      <c r="H790" s="2" t="s">
        <v>190</v>
      </c>
      <c r="I790" s="2">
        <v>2768.6</v>
      </c>
      <c r="J790" s="2">
        <v>6</v>
      </c>
      <c r="K790" s="2">
        <v>23.52</v>
      </c>
      <c r="L790" s="2"/>
    </row>
    <row r="791" spans="1:12" x14ac:dyDescent="0.25">
      <c r="A791" s="2" t="s">
        <v>1933</v>
      </c>
      <c r="B791" s="4" t="s">
        <v>372</v>
      </c>
      <c r="C791" s="2" t="str">
        <f t="shared" si="24"/>
        <v>Jun</v>
      </c>
      <c r="D791" s="2">
        <f t="shared" si="25"/>
        <v>2025</v>
      </c>
      <c r="E791" s="2" t="s">
        <v>1934</v>
      </c>
      <c r="F791" s="2" t="s">
        <v>24</v>
      </c>
      <c r="G791" s="2" t="s">
        <v>54</v>
      </c>
      <c r="H791" s="2" t="s">
        <v>111</v>
      </c>
      <c r="I791" s="2">
        <v>44887.03</v>
      </c>
      <c r="J791" s="2">
        <v>10</v>
      </c>
      <c r="K791" s="2">
        <v>9307.2000000000007</v>
      </c>
      <c r="L791" s="2"/>
    </row>
    <row r="792" spans="1:12" x14ac:dyDescent="0.25">
      <c r="A792" s="2" t="s">
        <v>1935</v>
      </c>
      <c r="B792" s="4" t="s">
        <v>126</v>
      </c>
      <c r="C792" s="2" t="str">
        <f t="shared" si="24"/>
        <v>Sep</v>
      </c>
      <c r="D792" s="2">
        <f t="shared" si="25"/>
        <v>2025</v>
      </c>
      <c r="E792" s="2" t="s">
        <v>1936</v>
      </c>
      <c r="F792" s="2" t="s">
        <v>24</v>
      </c>
      <c r="G792" s="2" t="s">
        <v>19</v>
      </c>
      <c r="H792" s="2" t="s">
        <v>20</v>
      </c>
      <c r="I792" s="2">
        <v>26067.74</v>
      </c>
      <c r="J792" s="2">
        <v>9</v>
      </c>
      <c r="K792" s="2">
        <v>1605.22</v>
      </c>
      <c r="L792" s="2"/>
    </row>
    <row r="793" spans="1:12" x14ac:dyDescent="0.25">
      <c r="A793" s="2" t="s">
        <v>1937</v>
      </c>
      <c r="B793" s="4" t="s">
        <v>1938</v>
      </c>
      <c r="C793" s="2" t="str">
        <f t="shared" si="24"/>
        <v>Dec</v>
      </c>
      <c r="D793" s="2">
        <f t="shared" si="25"/>
        <v>2025</v>
      </c>
      <c r="E793" s="2" t="s">
        <v>1939</v>
      </c>
      <c r="F793" s="2" t="s">
        <v>18</v>
      </c>
      <c r="G793" s="2" t="s">
        <v>13</v>
      </c>
      <c r="H793" s="2" t="s">
        <v>73</v>
      </c>
      <c r="I793" s="2">
        <v>8553.98</v>
      </c>
      <c r="J793" s="2">
        <v>10</v>
      </c>
      <c r="K793" s="2">
        <v>2195.46</v>
      </c>
      <c r="L793" s="2"/>
    </row>
    <row r="794" spans="1:12" x14ac:dyDescent="0.25">
      <c r="A794" s="2" t="s">
        <v>1940</v>
      </c>
      <c r="B794" s="4" t="s">
        <v>417</v>
      </c>
      <c r="C794" s="2" t="str">
        <f t="shared" si="24"/>
        <v>Jul</v>
      </c>
      <c r="D794" s="2">
        <f t="shared" si="25"/>
        <v>2025</v>
      </c>
      <c r="E794" s="2" t="s">
        <v>1941</v>
      </c>
      <c r="F794" s="2" t="s">
        <v>24</v>
      </c>
      <c r="G794" s="2" t="s">
        <v>25</v>
      </c>
      <c r="H794" s="2" t="s">
        <v>47</v>
      </c>
      <c r="I794" s="2">
        <v>33074.769999999997</v>
      </c>
      <c r="J794" s="2">
        <v>7</v>
      </c>
      <c r="K794" s="2">
        <v>-1172.26</v>
      </c>
      <c r="L794" s="2"/>
    </row>
    <row r="795" spans="1:12" x14ac:dyDescent="0.25">
      <c r="A795" s="2" t="s">
        <v>1942</v>
      </c>
      <c r="B795" s="4" t="s">
        <v>204</v>
      </c>
      <c r="C795" s="2" t="str">
        <f t="shared" si="24"/>
        <v>Jul</v>
      </c>
      <c r="D795" s="2">
        <f t="shared" si="25"/>
        <v>2025</v>
      </c>
      <c r="E795" s="2" t="s">
        <v>1943</v>
      </c>
      <c r="F795" s="2" t="s">
        <v>38</v>
      </c>
      <c r="G795" s="2" t="s">
        <v>54</v>
      </c>
      <c r="H795" s="2" t="s">
        <v>55</v>
      </c>
      <c r="I795" s="2">
        <v>32111.759999999998</v>
      </c>
      <c r="J795" s="2">
        <v>9</v>
      </c>
      <c r="K795" s="2">
        <v>5193.99</v>
      </c>
      <c r="L795" s="2"/>
    </row>
    <row r="796" spans="1:12" x14ac:dyDescent="0.25">
      <c r="A796" s="2" t="s">
        <v>1944</v>
      </c>
      <c r="B796" s="4" t="s">
        <v>1945</v>
      </c>
      <c r="C796" s="2" t="str">
        <f t="shared" si="24"/>
        <v>Apr</v>
      </c>
      <c r="D796" s="2">
        <f t="shared" si="25"/>
        <v>2025</v>
      </c>
      <c r="E796" s="2" t="s">
        <v>1946</v>
      </c>
      <c r="F796" s="2" t="s">
        <v>38</v>
      </c>
      <c r="G796" s="2" t="s">
        <v>13</v>
      </c>
      <c r="H796" s="2" t="s">
        <v>14</v>
      </c>
      <c r="I796" s="2">
        <v>7602.05</v>
      </c>
      <c r="J796" s="2">
        <v>10</v>
      </c>
      <c r="K796" s="2">
        <v>864.44</v>
      </c>
      <c r="L796" s="2"/>
    </row>
    <row r="797" spans="1:12" x14ac:dyDescent="0.25">
      <c r="A797" s="2" t="s">
        <v>1947</v>
      </c>
      <c r="B797" s="4" t="s">
        <v>551</v>
      </c>
      <c r="C797" s="2" t="str">
        <f t="shared" si="24"/>
        <v>Jul</v>
      </c>
      <c r="D797" s="2">
        <f t="shared" si="25"/>
        <v>2025</v>
      </c>
      <c r="E797" s="2" t="s">
        <v>1948</v>
      </c>
      <c r="F797" s="2" t="s">
        <v>24</v>
      </c>
      <c r="G797" s="2" t="s">
        <v>13</v>
      </c>
      <c r="H797" s="2" t="s">
        <v>121</v>
      </c>
      <c r="I797" s="2">
        <v>2304.98</v>
      </c>
      <c r="J797" s="2">
        <v>5</v>
      </c>
      <c r="K797" s="2">
        <v>5.17</v>
      </c>
      <c r="L797" s="2"/>
    </row>
    <row r="798" spans="1:12" x14ac:dyDescent="0.25">
      <c r="A798" s="2" t="s">
        <v>1949</v>
      </c>
      <c r="B798" s="4" t="s">
        <v>422</v>
      </c>
      <c r="C798" s="2" t="str">
        <f t="shared" si="24"/>
        <v>Dec</v>
      </c>
      <c r="D798" s="2">
        <f t="shared" si="25"/>
        <v>2025</v>
      </c>
      <c r="E798" s="2" t="s">
        <v>1950</v>
      </c>
      <c r="F798" s="2" t="s">
        <v>42</v>
      </c>
      <c r="G798" s="2" t="s">
        <v>13</v>
      </c>
      <c r="H798" s="2" t="s">
        <v>121</v>
      </c>
      <c r="I798" s="2">
        <v>36582.120000000003</v>
      </c>
      <c r="J798" s="2">
        <v>5</v>
      </c>
      <c r="K798" s="2">
        <v>4541.97</v>
      </c>
      <c r="L798" s="2"/>
    </row>
    <row r="799" spans="1:12" x14ac:dyDescent="0.25">
      <c r="A799" s="2" t="s">
        <v>1951</v>
      </c>
      <c r="B799" s="4" t="s">
        <v>921</v>
      </c>
      <c r="C799" s="2" t="str">
        <f t="shared" si="24"/>
        <v>Sep</v>
      </c>
      <c r="D799" s="2">
        <f t="shared" si="25"/>
        <v>2025</v>
      </c>
      <c r="E799" s="2" t="s">
        <v>1952</v>
      </c>
      <c r="F799" s="2" t="s">
        <v>38</v>
      </c>
      <c r="G799" s="2" t="s">
        <v>54</v>
      </c>
      <c r="H799" s="2" t="s">
        <v>111</v>
      </c>
      <c r="I799" s="2">
        <v>28878.86</v>
      </c>
      <c r="J799" s="2">
        <v>3</v>
      </c>
      <c r="K799" s="2">
        <v>5847.69</v>
      </c>
      <c r="L799" s="2"/>
    </row>
    <row r="800" spans="1:12" x14ac:dyDescent="0.25">
      <c r="A800" s="2" t="s">
        <v>1953</v>
      </c>
      <c r="B800" s="4" t="s">
        <v>1697</v>
      </c>
      <c r="C800" s="2" t="str">
        <f t="shared" si="24"/>
        <v>Oct</v>
      </c>
      <c r="D800" s="2">
        <f t="shared" si="25"/>
        <v>2025</v>
      </c>
      <c r="E800" s="2" t="s">
        <v>1954</v>
      </c>
      <c r="F800" s="2" t="s">
        <v>97</v>
      </c>
      <c r="G800" s="2" t="s">
        <v>19</v>
      </c>
      <c r="H800" s="2" t="s">
        <v>59</v>
      </c>
      <c r="I800" s="2">
        <v>29811.05</v>
      </c>
      <c r="J800" s="2">
        <v>3</v>
      </c>
      <c r="K800" s="2">
        <v>2122.4299999999998</v>
      </c>
      <c r="L800" s="2"/>
    </row>
    <row r="801" spans="1:12" x14ac:dyDescent="0.25">
      <c r="A801" s="2" t="s">
        <v>1955</v>
      </c>
      <c r="B801" s="4" t="s">
        <v>95</v>
      </c>
      <c r="C801" s="2" t="str">
        <f t="shared" si="24"/>
        <v>Nov</v>
      </c>
      <c r="D801" s="2">
        <f t="shared" si="25"/>
        <v>2025</v>
      </c>
      <c r="E801" s="2" t="s">
        <v>1956</v>
      </c>
      <c r="F801" s="2" t="s">
        <v>34</v>
      </c>
      <c r="G801" s="2" t="s">
        <v>13</v>
      </c>
      <c r="H801" s="2" t="s">
        <v>14</v>
      </c>
      <c r="I801" s="2">
        <v>15886.8</v>
      </c>
      <c r="J801" s="2">
        <v>3</v>
      </c>
      <c r="K801" s="2">
        <v>4183.63</v>
      </c>
      <c r="L801" s="2"/>
    </row>
    <row r="802" spans="1:12" x14ac:dyDescent="0.25">
      <c r="A802" s="2" t="s">
        <v>1957</v>
      </c>
      <c r="B802" s="4" t="s">
        <v>1958</v>
      </c>
      <c r="C802" s="2" t="str">
        <f t="shared" si="24"/>
        <v>Oct</v>
      </c>
      <c r="D802" s="2">
        <f t="shared" si="25"/>
        <v>2025</v>
      </c>
      <c r="E802" s="2" t="s">
        <v>1959</v>
      </c>
      <c r="F802" s="2" t="s">
        <v>97</v>
      </c>
      <c r="G802" s="2" t="s">
        <v>54</v>
      </c>
      <c r="H802" s="2" t="s">
        <v>55</v>
      </c>
      <c r="I802" s="2">
        <v>23647.46</v>
      </c>
      <c r="J802" s="2">
        <v>8</v>
      </c>
      <c r="K802" s="2">
        <v>1873.39</v>
      </c>
      <c r="L802" s="2"/>
    </row>
    <row r="803" spans="1:12" x14ac:dyDescent="0.25">
      <c r="A803" s="2" t="s">
        <v>1960</v>
      </c>
      <c r="B803" s="4" t="s">
        <v>1961</v>
      </c>
      <c r="C803" s="2" t="str">
        <f t="shared" si="24"/>
        <v>Sep</v>
      </c>
      <c r="D803" s="2">
        <f t="shared" si="25"/>
        <v>2025</v>
      </c>
      <c r="E803" s="2" t="s">
        <v>1962</v>
      </c>
      <c r="F803" s="2" t="s">
        <v>38</v>
      </c>
      <c r="G803" s="2" t="s">
        <v>25</v>
      </c>
      <c r="H803" s="2" t="s">
        <v>169</v>
      </c>
      <c r="I803" s="2">
        <v>11801.83</v>
      </c>
      <c r="J803" s="2">
        <v>5</v>
      </c>
      <c r="K803" s="2">
        <v>566.45000000000005</v>
      </c>
      <c r="L803" s="2"/>
    </row>
    <row r="804" spans="1:12" x14ac:dyDescent="0.25">
      <c r="A804" s="2" t="s">
        <v>1963</v>
      </c>
      <c r="B804" s="4" t="s">
        <v>1964</v>
      </c>
      <c r="C804" s="2" t="str">
        <f t="shared" si="24"/>
        <v>Feb</v>
      </c>
      <c r="D804" s="2">
        <f t="shared" si="25"/>
        <v>2025</v>
      </c>
      <c r="E804" s="2" t="s">
        <v>1965</v>
      </c>
      <c r="F804" s="2" t="s">
        <v>12</v>
      </c>
      <c r="G804" s="2" t="s">
        <v>54</v>
      </c>
      <c r="H804" s="2" t="s">
        <v>84</v>
      </c>
      <c r="I804" s="2">
        <v>29371.82</v>
      </c>
      <c r="J804" s="2">
        <v>8</v>
      </c>
      <c r="K804" s="2">
        <v>3441.42</v>
      </c>
      <c r="L804" s="2"/>
    </row>
    <row r="805" spans="1:12" x14ac:dyDescent="0.25">
      <c r="A805" s="2" t="s">
        <v>1966</v>
      </c>
      <c r="B805" s="4" t="s">
        <v>183</v>
      </c>
      <c r="C805" s="2" t="str">
        <f t="shared" si="24"/>
        <v>May</v>
      </c>
      <c r="D805" s="2">
        <f t="shared" si="25"/>
        <v>2025</v>
      </c>
      <c r="E805" s="2" t="s">
        <v>1967</v>
      </c>
      <c r="F805" s="2" t="s">
        <v>18</v>
      </c>
      <c r="G805" s="2" t="s">
        <v>13</v>
      </c>
      <c r="H805" s="2" t="s">
        <v>77</v>
      </c>
      <c r="I805" s="2">
        <v>22986.01</v>
      </c>
      <c r="J805" s="2">
        <v>6</v>
      </c>
      <c r="K805" s="2">
        <v>3594.92</v>
      </c>
      <c r="L805" s="2"/>
    </row>
    <row r="806" spans="1:12" x14ac:dyDescent="0.25">
      <c r="A806" s="2" t="s">
        <v>1968</v>
      </c>
      <c r="B806" s="4" t="s">
        <v>89</v>
      </c>
      <c r="C806" s="2" t="str">
        <f t="shared" si="24"/>
        <v>Nov</v>
      </c>
      <c r="D806" s="2">
        <f t="shared" si="25"/>
        <v>2025</v>
      </c>
      <c r="E806" s="2" t="s">
        <v>1969</v>
      </c>
      <c r="F806" s="2" t="s">
        <v>97</v>
      </c>
      <c r="G806" s="2" t="s">
        <v>54</v>
      </c>
      <c r="H806" s="2" t="s">
        <v>84</v>
      </c>
      <c r="I806" s="2">
        <v>21700.6</v>
      </c>
      <c r="J806" s="2">
        <v>3</v>
      </c>
      <c r="K806" s="2">
        <v>2052.67</v>
      </c>
      <c r="L806" s="2"/>
    </row>
    <row r="807" spans="1:12" x14ac:dyDescent="0.25">
      <c r="A807" s="2" t="s">
        <v>1970</v>
      </c>
      <c r="B807" s="4" t="s">
        <v>736</v>
      </c>
      <c r="C807" s="2" t="str">
        <f t="shared" si="24"/>
        <v>Apr</v>
      </c>
      <c r="D807" s="2">
        <f t="shared" si="25"/>
        <v>2025</v>
      </c>
      <c r="E807" s="2" t="s">
        <v>1971</v>
      </c>
      <c r="F807" s="2" t="s">
        <v>34</v>
      </c>
      <c r="G807" s="2" t="s">
        <v>19</v>
      </c>
      <c r="H807" s="2" t="s">
        <v>43</v>
      </c>
      <c r="I807" s="2">
        <v>47597.64</v>
      </c>
      <c r="J807" s="2">
        <v>4</v>
      </c>
      <c r="K807" s="2">
        <v>-154.03</v>
      </c>
      <c r="L807" s="2"/>
    </row>
    <row r="808" spans="1:12" x14ac:dyDescent="0.25">
      <c r="A808" s="2" t="s">
        <v>1972</v>
      </c>
      <c r="B808" s="4" t="s">
        <v>195</v>
      </c>
      <c r="C808" s="2" t="str">
        <f t="shared" si="24"/>
        <v>Aug</v>
      </c>
      <c r="D808" s="2">
        <f t="shared" si="25"/>
        <v>2025</v>
      </c>
      <c r="E808" s="2" t="s">
        <v>1973</v>
      </c>
      <c r="F808" s="2" t="s">
        <v>18</v>
      </c>
      <c r="G808" s="2" t="s">
        <v>13</v>
      </c>
      <c r="H808" s="2" t="s">
        <v>73</v>
      </c>
      <c r="I808" s="2">
        <v>6004.42</v>
      </c>
      <c r="J808" s="2">
        <v>7</v>
      </c>
      <c r="K808" s="2">
        <v>1080.3599999999999</v>
      </c>
      <c r="L808" s="2"/>
    </row>
    <row r="809" spans="1:12" x14ac:dyDescent="0.25">
      <c r="A809" s="2" t="s">
        <v>1974</v>
      </c>
      <c r="B809" s="4" t="s">
        <v>472</v>
      </c>
      <c r="C809" s="2" t="str">
        <f t="shared" si="24"/>
        <v>Jul</v>
      </c>
      <c r="D809" s="2">
        <f t="shared" si="25"/>
        <v>2025</v>
      </c>
      <c r="E809" s="2" t="s">
        <v>1975</v>
      </c>
      <c r="F809" s="2" t="s">
        <v>38</v>
      </c>
      <c r="G809" s="2" t="s">
        <v>19</v>
      </c>
      <c r="H809" s="2" t="s">
        <v>101</v>
      </c>
      <c r="I809" s="2">
        <v>27442.959999999999</v>
      </c>
      <c r="J809" s="2">
        <v>3</v>
      </c>
      <c r="K809" s="2">
        <v>-851.04</v>
      </c>
      <c r="L809" s="2"/>
    </row>
    <row r="810" spans="1:12" x14ac:dyDescent="0.25">
      <c r="A810" s="2" t="s">
        <v>1976</v>
      </c>
      <c r="B810" s="4" t="s">
        <v>92</v>
      </c>
      <c r="C810" s="2" t="str">
        <f t="shared" si="24"/>
        <v>Feb</v>
      </c>
      <c r="D810" s="2">
        <f t="shared" si="25"/>
        <v>2025</v>
      </c>
      <c r="E810" s="2" t="s">
        <v>1626</v>
      </c>
      <c r="F810" s="2" t="s">
        <v>18</v>
      </c>
      <c r="G810" s="2" t="s">
        <v>25</v>
      </c>
      <c r="H810" s="2" t="s">
        <v>169</v>
      </c>
      <c r="I810" s="2">
        <v>42033.26</v>
      </c>
      <c r="J810" s="2">
        <v>10</v>
      </c>
      <c r="K810" s="2">
        <v>-75.86</v>
      </c>
      <c r="L810" s="2"/>
    </row>
    <row r="811" spans="1:12" x14ac:dyDescent="0.25">
      <c r="A811" s="2" t="s">
        <v>1977</v>
      </c>
      <c r="B811" s="4" t="s">
        <v>10</v>
      </c>
      <c r="C811" s="2" t="str">
        <f t="shared" si="24"/>
        <v>Jun</v>
      </c>
      <c r="D811" s="2">
        <f t="shared" si="25"/>
        <v>2025</v>
      </c>
      <c r="E811" s="2" t="s">
        <v>1978</v>
      </c>
      <c r="F811" s="2" t="s">
        <v>97</v>
      </c>
      <c r="G811" s="2" t="s">
        <v>54</v>
      </c>
      <c r="H811" s="2" t="s">
        <v>138</v>
      </c>
      <c r="I811" s="2">
        <v>24753.95</v>
      </c>
      <c r="J811" s="2">
        <v>10</v>
      </c>
      <c r="K811" s="2">
        <v>6289.38</v>
      </c>
      <c r="L811" s="2"/>
    </row>
    <row r="812" spans="1:12" x14ac:dyDescent="0.25">
      <c r="A812" s="2" t="s">
        <v>1979</v>
      </c>
      <c r="B812" s="4" t="s">
        <v>116</v>
      </c>
      <c r="C812" s="2" t="str">
        <f t="shared" si="24"/>
        <v>Nov</v>
      </c>
      <c r="D812" s="2">
        <f t="shared" si="25"/>
        <v>2025</v>
      </c>
      <c r="E812" s="2" t="s">
        <v>1980</v>
      </c>
      <c r="F812" s="2" t="s">
        <v>97</v>
      </c>
      <c r="G812" s="2" t="s">
        <v>13</v>
      </c>
      <c r="H812" s="2" t="s">
        <v>77</v>
      </c>
      <c r="I812" s="2">
        <v>28020.15</v>
      </c>
      <c r="J812" s="2">
        <v>10</v>
      </c>
      <c r="K812" s="2">
        <v>4861.8500000000004</v>
      </c>
      <c r="L812" s="2"/>
    </row>
    <row r="813" spans="1:12" x14ac:dyDescent="0.25">
      <c r="A813" s="2" t="s">
        <v>1981</v>
      </c>
      <c r="B813" s="4" t="s">
        <v>889</v>
      </c>
      <c r="C813" s="2" t="str">
        <f t="shared" si="24"/>
        <v>Jun</v>
      </c>
      <c r="D813" s="2">
        <f t="shared" si="25"/>
        <v>2025</v>
      </c>
      <c r="E813" s="2" t="s">
        <v>1982</v>
      </c>
      <c r="F813" s="2" t="s">
        <v>24</v>
      </c>
      <c r="G813" s="2" t="s">
        <v>25</v>
      </c>
      <c r="H813" s="2" t="s">
        <v>169</v>
      </c>
      <c r="I813" s="2">
        <v>29623.919999999998</v>
      </c>
      <c r="J813" s="2">
        <v>6</v>
      </c>
      <c r="K813" s="2">
        <v>5317.13</v>
      </c>
      <c r="L813" s="2"/>
    </row>
    <row r="814" spans="1:12" x14ac:dyDescent="0.25">
      <c r="A814" s="2" t="s">
        <v>1983</v>
      </c>
      <c r="B814" s="4" t="s">
        <v>765</v>
      </c>
      <c r="C814" s="2" t="str">
        <f t="shared" si="24"/>
        <v>Jul</v>
      </c>
      <c r="D814" s="2">
        <f t="shared" si="25"/>
        <v>2025</v>
      </c>
      <c r="E814" s="2" t="s">
        <v>1984</v>
      </c>
      <c r="F814" s="2" t="s">
        <v>42</v>
      </c>
      <c r="G814" s="2" t="s">
        <v>54</v>
      </c>
      <c r="H814" s="2" t="s">
        <v>190</v>
      </c>
      <c r="I814" s="2">
        <v>25237.37</v>
      </c>
      <c r="J814" s="2">
        <v>2</v>
      </c>
      <c r="K814" s="2">
        <v>835.24</v>
      </c>
      <c r="L814" s="2"/>
    </row>
    <row r="815" spans="1:12" x14ac:dyDescent="0.25">
      <c r="A815" s="2" t="s">
        <v>1985</v>
      </c>
      <c r="B815" s="4" t="s">
        <v>129</v>
      </c>
      <c r="C815" s="2" t="str">
        <f t="shared" si="24"/>
        <v>Dec</v>
      </c>
      <c r="D815" s="2">
        <f t="shared" si="25"/>
        <v>2025</v>
      </c>
      <c r="E815" s="2" t="s">
        <v>1986</v>
      </c>
      <c r="F815" s="2" t="s">
        <v>12</v>
      </c>
      <c r="G815" s="2" t="s">
        <v>13</v>
      </c>
      <c r="H815" s="2" t="s">
        <v>121</v>
      </c>
      <c r="I815" s="2">
        <v>15824.66</v>
      </c>
      <c r="J815" s="2">
        <v>9</v>
      </c>
      <c r="K815" s="2">
        <v>2436.46</v>
      </c>
      <c r="L815" s="2"/>
    </row>
    <row r="816" spans="1:12" x14ac:dyDescent="0.25">
      <c r="A816" s="2" t="s">
        <v>1987</v>
      </c>
      <c r="B816" s="4" t="s">
        <v>40</v>
      </c>
      <c r="C816" s="2" t="str">
        <f t="shared" si="24"/>
        <v>Jun</v>
      </c>
      <c r="D816" s="2">
        <f t="shared" si="25"/>
        <v>2025</v>
      </c>
      <c r="E816" s="2" t="s">
        <v>1988</v>
      </c>
      <c r="F816" s="2" t="s">
        <v>18</v>
      </c>
      <c r="G816" s="2" t="s">
        <v>25</v>
      </c>
      <c r="H816" s="2" t="s">
        <v>154</v>
      </c>
      <c r="I816" s="2">
        <v>38598.22</v>
      </c>
      <c r="J816" s="2">
        <v>9</v>
      </c>
      <c r="K816" s="2">
        <v>3927.58</v>
      </c>
      <c r="L816" s="2"/>
    </row>
    <row r="817" spans="1:12" x14ac:dyDescent="0.25">
      <c r="A817" s="2" t="s">
        <v>1989</v>
      </c>
      <c r="B817" s="4" t="s">
        <v>916</v>
      </c>
      <c r="C817" s="2" t="str">
        <f t="shared" si="24"/>
        <v>Jun</v>
      </c>
      <c r="D817" s="2">
        <f t="shared" si="25"/>
        <v>2025</v>
      </c>
      <c r="E817" s="2" t="s">
        <v>1990</v>
      </c>
      <c r="F817" s="2" t="s">
        <v>38</v>
      </c>
      <c r="G817" s="2" t="s">
        <v>19</v>
      </c>
      <c r="H817" s="2" t="s">
        <v>59</v>
      </c>
      <c r="I817" s="2">
        <v>13350.19</v>
      </c>
      <c r="J817" s="2">
        <v>6</v>
      </c>
      <c r="K817" s="2">
        <v>3602.12</v>
      </c>
      <c r="L817" s="2"/>
    </row>
    <row r="818" spans="1:12" x14ac:dyDescent="0.25">
      <c r="A818" s="2" t="s">
        <v>1991</v>
      </c>
      <c r="B818" s="4" t="s">
        <v>712</v>
      </c>
      <c r="C818" s="2" t="str">
        <f t="shared" si="24"/>
        <v>Oct</v>
      </c>
      <c r="D818" s="2">
        <f t="shared" si="25"/>
        <v>2025</v>
      </c>
      <c r="E818" s="2" t="s">
        <v>1992</v>
      </c>
      <c r="F818" s="2" t="s">
        <v>38</v>
      </c>
      <c r="G818" s="2" t="s">
        <v>19</v>
      </c>
      <c r="H818" s="2" t="s">
        <v>63</v>
      </c>
      <c r="I818" s="2">
        <v>18171.55</v>
      </c>
      <c r="J818" s="2">
        <v>7</v>
      </c>
      <c r="K818" s="2">
        <v>1035.49</v>
      </c>
      <c r="L818" s="2"/>
    </row>
    <row r="819" spans="1:12" x14ac:dyDescent="0.25">
      <c r="A819" s="2" t="s">
        <v>1993</v>
      </c>
      <c r="B819" s="4" t="s">
        <v>603</v>
      </c>
      <c r="C819" s="2" t="str">
        <f t="shared" si="24"/>
        <v>Oct</v>
      </c>
      <c r="D819" s="2">
        <f t="shared" si="25"/>
        <v>2025</v>
      </c>
      <c r="E819" s="2" t="s">
        <v>1994</v>
      </c>
      <c r="F819" s="2" t="s">
        <v>24</v>
      </c>
      <c r="G819" s="2" t="s">
        <v>54</v>
      </c>
      <c r="H819" s="2" t="s">
        <v>111</v>
      </c>
      <c r="I819" s="2">
        <v>42850.879999999997</v>
      </c>
      <c r="J819" s="2">
        <v>6</v>
      </c>
      <c r="K819" s="2">
        <v>11829.85</v>
      </c>
      <c r="L819" s="2"/>
    </row>
    <row r="820" spans="1:12" x14ac:dyDescent="0.25">
      <c r="A820" s="2" t="s">
        <v>1995</v>
      </c>
      <c r="B820" s="4" t="s">
        <v>1938</v>
      </c>
      <c r="C820" s="2" t="str">
        <f t="shared" si="24"/>
        <v>Dec</v>
      </c>
      <c r="D820" s="2">
        <f t="shared" si="25"/>
        <v>2025</v>
      </c>
      <c r="E820" s="2" t="s">
        <v>1996</v>
      </c>
      <c r="F820" s="2" t="s">
        <v>42</v>
      </c>
      <c r="G820" s="2" t="s">
        <v>13</v>
      </c>
      <c r="H820" s="2" t="s">
        <v>30</v>
      </c>
      <c r="I820" s="2">
        <v>33453.53</v>
      </c>
      <c r="J820" s="2">
        <v>10</v>
      </c>
      <c r="K820" s="2">
        <v>7335.88</v>
      </c>
      <c r="L820" s="2"/>
    </row>
    <row r="821" spans="1:12" x14ac:dyDescent="0.25">
      <c r="A821" s="2" t="s">
        <v>1997</v>
      </c>
      <c r="B821" s="4" t="s">
        <v>616</v>
      </c>
      <c r="C821" s="2" t="str">
        <f t="shared" si="24"/>
        <v>Mar</v>
      </c>
      <c r="D821" s="2">
        <f t="shared" si="25"/>
        <v>2025</v>
      </c>
      <c r="E821" s="2" t="s">
        <v>1998</v>
      </c>
      <c r="F821" s="2" t="s">
        <v>24</v>
      </c>
      <c r="G821" s="2" t="s">
        <v>54</v>
      </c>
      <c r="H821" s="2" t="s">
        <v>111</v>
      </c>
      <c r="I821" s="2">
        <v>23866.48</v>
      </c>
      <c r="J821" s="2">
        <v>2</v>
      </c>
      <c r="K821" s="2">
        <v>2411.7800000000002</v>
      </c>
      <c r="L821" s="2"/>
    </row>
    <row r="822" spans="1:12" x14ac:dyDescent="0.25">
      <c r="A822" s="2" t="s">
        <v>1999</v>
      </c>
      <c r="B822" s="4" t="s">
        <v>92</v>
      </c>
      <c r="C822" s="2" t="str">
        <f t="shared" si="24"/>
        <v>Feb</v>
      </c>
      <c r="D822" s="2">
        <f t="shared" si="25"/>
        <v>2025</v>
      </c>
      <c r="E822" s="2" t="s">
        <v>2000</v>
      </c>
      <c r="F822" s="2" t="s">
        <v>34</v>
      </c>
      <c r="G822" s="2" t="s">
        <v>25</v>
      </c>
      <c r="H822" s="2" t="s">
        <v>47</v>
      </c>
      <c r="I822" s="2">
        <v>8791.2999999999993</v>
      </c>
      <c r="J822" s="2">
        <v>5</v>
      </c>
      <c r="K822" s="2">
        <v>792.81</v>
      </c>
      <c r="L822" s="2"/>
    </row>
    <row r="823" spans="1:12" x14ac:dyDescent="0.25">
      <c r="A823" s="2" t="s">
        <v>2001</v>
      </c>
      <c r="B823" s="4" t="s">
        <v>109</v>
      </c>
      <c r="C823" s="2" t="str">
        <f t="shared" si="24"/>
        <v>Aug</v>
      </c>
      <c r="D823" s="2">
        <f t="shared" si="25"/>
        <v>2025</v>
      </c>
      <c r="E823" s="2" t="s">
        <v>2002</v>
      </c>
      <c r="F823" s="2" t="s">
        <v>42</v>
      </c>
      <c r="G823" s="2" t="s">
        <v>13</v>
      </c>
      <c r="H823" s="2" t="s">
        <v>14</v>
      </c>
      <c r="I823" s="2">
        <v>47404.45</v>
      </c>
      <c r="J823" s="2">
        <v>1</v>
      </c>
      <c r="K823" s="2">
        <v>-1875.67</v>
      </c>
      <c r="L823" s="2"/>
    </row>
    <row r="824" spans="1:12" x14ac:dyDescent="0.25">
      <c r="A824" s="2" t="s">
        <v>2003</v>
      </c>
      <c r="B824" s="4" t="s">
        <v>232</v>
      </c>
      <c r="C824" s="2" t="str">
        <f t="shared" si="24"/>
        <v>Mar</v>
      </c>
      <c r="D824" s="2">
        <f t="shared" si="25"/>
        <v>2025</v>
      </c>
      <c r="E824" s="2" t="s">
        <v>2004</v>
      </c>
      <c r="F824" s="2" t="s">
        <v>42</v>
      </c>
      <c r="G824" s="2" t="s">
        <v>19</v>
      </c>
      <c r="H824" s="2" t="s">
        <v>43</v>
      </c>
      <c r="I824" s="2">
        <v>22327.57</v>
      </c>
      <c r="J824" s="2">
        <v>8</v>
      </c>
      <c r="K824" s="2">
        <v>281.47000000000003</v>
      </c>
      <c r="L824" s="2"/>
    </row>
    <row r="825" spans="1:12" x14ac:dyDescent="0.25">
      <c r="A825" s="2" t="s">
        <v>2005</v>
      </c>
      <c r="B825" s="4" t="s">
        <v>544</v>
      </c>
      <c r="C825" s="2" t="str">
        <f t="shared" si="24"/>
        <v>Jun</v>
      </c>
      <c r="D825" s="2">
        <f t="shared" si="25"/>
        <v>2025</v>
      </c>
      <c r="E825" s="2" t="s">
        <v>2006</v>
      </c>
      <c r="F825" s="2" t="s">
        <v>42</v>
      </c>
      <c r="G825" s="2" t="s">
        <v>19</v>
      </c>
      <c r="H825" s="2" t="s">
        <v>20</v>
      </c>
      <c r="I825" s="2">
        <v>35920.71</v>
      </c>
      <c r="J825" s="2">
        <v>3</v>
      </c>
      <c r="K825" s="2">
        <v>2957.76</v>
      </c>
      <c r="L825" s="2"/>
    </row>
    <row r="826" spans="1:12" x14ac:dyDescent="0.25">
      <c r="A826" s="2" t="s">
        <v>2007</v>
      </c>
      <c r="B826" s="4" t="s">
        <v>180</v>
      </c>
      <c r="C826" s="2" t="str">
        <f t="shared" si="24"/>
        <v>Jan</v>
      </c>
      <c r="D826" s="2">
        <f t="shared" si="25"/>
        <v>2025</v>
      </c>
      <c r="E826" s="2" t="s">
        <v>2008</v>
      </c>
      <c r="F826" s="2" t="s">
        <v>97</v>
      </c>
      <c r="G826" s="2" t="s">
        <v>54</v>
      </c>
      <c r="H826" s="2" t="s">
        <v>84</v>
      </c>
      <c r="I826" s="2">
        <v>8801.23</v>
      </c>
      <c r="J826" s="2">
        <v>3</v>
      </c>
      <c r="K826" s="2">
        <v>875.89</v>
      </c>
      <c r="L826" s="2"/>
    </row>
    <row r="827" spans="1:12" x14ac:dyDescent="0.25">
      <c r="A827" s="2" t="s">
        <v>2009</v>
      </c>
      <c r="B827" s="4" t="s">
        <v>1164</v>
      </c>
      <c r="C827" s="2" t="str">
        <f t="shared" si="24"/>
        <v>Oct</v>
      </c>
      <c r="D827" s="2">
        <f t="shared" si="25"/>
        <v>2025</v>
      </c>
      <c r="E827" s="2" t="s">
        <v>2010</v>
      </c>
      <c r="F827" s="2" t="s">
        <v>18</v>
      </c>
      <c r="G827" s="2" t="s">
        <v>13</v>
      </c>
      <c r="H827" s="2" t="s">
        <v>121</v>
      </c>
      <c r="I827" s="2">
        <v>19910.560000000001</v>
      </c>
      <c r="J827" s="2">
        <v>1</v>
      </c>
      <c r="K827" s="2">
        <v>1041.02</v>
      </c>
      <c r="L827" s="2"/>
    </row>
    <row r="828" spans="1:12" x14ac:dyDescent="0.25">
      <c r="A828" s="2" t="s">
        <v>2011</v>
      </c>
      <c r="B828" s="4" t="s">
        <v>186</v>
      </c>
      <c r="C828" s="2" t="str">
        <f t="shared" si="24"/>
        <v>Feb</v>
      </c>
      <c r="D828" s="2">
        <f t="shared" si="25"/>
        <v>2025</v>
      </c>
      <c r="E828" s="2" t="s">
        <v>2012</v>
      </c>
      <c r="F828" s="2" t="s">
        <v>12</v>
      </c>
      <c r="G828" s="2" t="s">
        <v>13</v>
      </c>
      <c r="H828" s="2" t="s">
        <v>77</v>
      </c>
      <c r="I828" s="2">
        <v>10441.49</v>
      </c>
      <c r="J828" s="2">
        <v>1</v>
      </c>
      <c r="K828" s="2">
        <v>866.53</v>
      </c>
      <c r="L828" s="2"/>
    </row>
    <row r="829" spans="1:12" x14ac:dyDescent="0.25">
      <c r="A829" s="2" t="s">
        <v>2013</v>
      </c>
      <c r="B829" s="4" t="s">
        <v>340</v>
      </c>
      <c r="C829" s="2" t="str">
        <f t="shared" si="24"/>
        <v>Mar</v>
      </c>
      <c r="D829" s="2">
        <f t="shared" si="25"/>
        <v>2025</v>
      </c>
      <c r="E829" s="2" t="s">
        <v>2014</v>
      </c>
      <c r="F829" s="2" t="s">
        <v>24</v>
      </c>
      <c r="G829" s="2" t="s">
        <v>25</v>
      </c>
      <c r="H829" s="2" t="s">
        <v>169</v>
      </c>
      <c r="I829" s="2">
        <v>1135.3399999999999</v>
      </c>
      <c r="J829" s="2">
        <v>10</v>
      </c>
      <c r="K829" s="2">
        <v>-5.84</v>
      </c>
      <c r="L829" s="2"/>
    </row>
    <row r="830" spans="1:12" x14ac:dyDescent="0.25">
      <c r="A830" s="2" t="s">
        <v>2015</v>
      </c>
      <c r="B830" s="4" t="s">
        <v>954</v>
      </c>
      <c r="C830" s="2" t="str">
        <f t="shared" si="24"/>
        <v>Jun</v>
      </c>
      <c r="D830" s="2">
        <f t="shared" si="25"/>
        <v>2025</v>
      </c>
      <c r="E830" s="2" t="s">
        <v>2016</v>
      </c>
      <c r="F830" s="2" t="s">
        <v>38</v>
      </c>
      <c r="G830" s="2" t="s">
        <v>13</v>
      </c>
      <c r="H830" s="2" t="s">
        <v>30</v>
      </c>
      <c r="I830" s="2">
        <v>27897.58</v>
      </c>
      <c r="J830" s="2">
        <v>8</v>
      </c>
      <c r="K830" s="2">
        <v>4490.22</v>
      </c>
      <c r="L830" s="2"/>
    </row>
    <row r="831" spans="1:12" x14ac:dyDescent="0.25">
      <c r="A831" s="2" t="s">
        <v>2017</v>
      </c>
      <c r="B831" s="4" t="s">
        <v>1518</v>
      </c>
      <c r="C831" s="2" t="str">
        <f t="shared" si="24"/>
        <v>Aug</v>
      </c>
      <c r="D831" s="2">
        <f t="shared" si="25"/>
        <v>2025</v>
      </c>
      <c r="E831" s="2" t="s">
        <v>2018</v>
      </c>
      <c r="F831" s="2" t="s">
        <v>24</v>
      </c>
      <c r="G831" s="2" t="s">
        <v>19</v>
      </c>
      <c r="H831" s="2" t="s">
        <v>43</v>
      </c>
      <c r="I831" s="2">
        <v>47157.38</v>
      </c>
      <c r="J831" s="2">
        <v>4</v>
      </c>
      <c r="K831" s="2">
        <v>4290.03</v>
      </c>
      <c r="L831" s="2"/>
    </row>
    <row r="832" spans="1:12" x14ac:dyDescent="0.25">
      <c r="A832" s="2" t="s">
        <v>2019</v>
      </c>
      <c r="B832" s="4" t="s">
        <v>1474</v>
      </c>
      <c r="C832" s="2" t="str">
        <f t="shared" si="24"/>
        <v>Nov</v>
      </c>
      <c r="D832" s="2">
        <f t="shared" si="25"/>
        <v>2025</v>
      </c>
      <c r="E832" s="2" t="s">
        <v>2020</v>
      </c>
      <c r="F832" s="2" t="s">
        <v>24</v>
      </c>
      <c r="G832" s="2" t="s">
        <v>13</v>
      </c>
      <c r="H832" s="2" t="s">
        <v>73</v>
      </c>
      <c r="I832" s="2">
        <v>4709.99</v>
      </c>
      <c r="J832" s="2">
        <v>6</v>
      </c>
      <c r="K832" s="2">
        <v>1347.31</v>
      </c>
      <c r="L832" s="2"/>
    </row>
    <row r="833" spans="1:12" x14ac:dyDescent="0.25">
      <c r="A833" s="2" t="s">
        <v>2021</v>
      </c>
      <c r="B833" s="4" t="s">
        <v>103</v>
      </c>
      <c r="C833" s="2" t="str">
        <f t="shared" si="24"/>
        <v>Aug</v>
      </c>
      <c r="D833" s="2">
        <f t="shared" si="25"/>
        <v>2025</v>
      </c>
      <c r="E833" s="2" t="s">
        <v>2022</v>
      </c>
      <c r="F833" s="2" t="s">
        <v>97</v>
      </c>
      <c r="G833" s="2" t="s">
        <v>13</v>
      </c>
      <c r="H833" s="2" t="s">
        <v>30</v>
      </c>
      <c r="I833" s="2">
        <v>15324.41</v>
      </c>
      <c r="J833" s="2">
        <v>8</v>
      </c>
      <c r="K833" s="2">
        <v>-534.49</v>
      </c>
      <c r="L833" s="2"/>
    </row>
    <row r="834" spans="1:12" x14ac:dyDescent="0.25">
      <c r="A834" s="2" t="s">
        <v>2023</v>
      </c>
      <c r="B834" s="4" t="s">
        <v>768</v>
      </c>
      <c r="C834" s="2" t="str">
        <f t="shared" si="24"/>
        <v>Nov</v>
      </c>
      <c r="D834" s="2">
        <f t="shared" si="25"/>
        <v>2025</v>
      </c>
      <c r="E834" s="2" t="s">
        <v>2024</v>
      </c>
      <c r="F834" s="2" t="s">
        <v>34</v>
      </c>
      <c r="G834" s="2" t="s">
        <v>54</v>
      </c>
      <c r="H834" s="2" t="s">
        <v>84</v>
      </c>
      <c r="I834" s="2">
        <v>34467.599999999999</v>
      </c>
      <c r="J834" s="2">
        <v>7</v>
      </c>
      <c r="K834" s="2">
        <v>4793.68</v>
      </c>
      <c r="L834" s="2"/>
    </row>
    <row r="835" spans="1:12" x14ac:dyDescent="0.25">
      <c r="A835" s="2" t="s">
        <v>2025</v>
      </c>
      <c r="B835" s="4" t="s">
        <v>381</v>
      </c>
      <c r="C835" s="2" t="str">
        <f t="shared" ref="C835:C898" si="26">TEXT(B835, "mmm")</f>
        <v>Dec</v>
      </c>
      <c r="D835" s="2">
        <f t="shared" ref="D835:D898" si="27">YEAR(B835)</f>
        <v>2025</v>
      </c>
      <c r="E835" s="2" t="s">
        <v>2026</v>
      </c>
      <c r="F835" s="2" t="s">
        <v>12</v>
      </c>
      <c r="G835" s="2" t="s">
        <v>13</v>
      </c>
      <c r="H835" s="2" t="s">
        <v>77</v>
      </c>
      <c r="I835" s="2">
        <v>46454.46</v>
      </c>
      <c r="J835" s="2">
        <v>5</v>
      </c>
      <c r="K835" s="2">
        <v>7045.69</v>
      </c>
      <c r="L835" s="2"/>
    </row>
    <row r="836" spans="1:12" x14ac:dyDescent="0.25">
      <c r="A836" s="2" t="s">
        <v>2027</v>
      </c>
      <c r="B836" s="4" t="s">
        <v>768</v>
      </c>
      <c r="C836" s="2" t="str">
        <f t="shared" si="26"/>
        <v>Nov</v>
      </c>
      <c r="D836" s="2">
        <f t="shared" si="27"/>
        <v>2025</v>
      </c>
      <c r="E836" s="2" t="s">
        <v>2028</v>
      </c>
      <c r="F836" s="2" t="s">
        <v>24</v>
      </c>
      <c r="G836" s="2" t="s">
        <v>13</v>
      </c>
      <c r="H836" s="2" t="s">
        <v>73</v>
      </c>
      <c r="I836" s="2">
        <v>19671.740000000002</v>
      </c>
      <c r="J836" s="2">
        <v>9</v>
      </c>
      <c r="K836" s="2">
        <v>3349.63</v>
      </c>
      <c r="L836" s="2"/>
    </row>
    <row r="837" spans="1:12" x14ac:dyDescent="0.25">
      <c r="A837" s="2" t="s">
        <v>2029</v>
      </c>
      <c r="B837" s="4" t="s">
        <v>743</v>
      </c>
      <c r="C837" s="2" t="str">
        <f t="shared" si="26"/>
        <v>Apr</v>
      </c>
      <c r="D837" s="2">
        <f t="shared" si="27"/>
        <v>2025</v>
      </c>
      <c r="E837" s="2" t="s">
        <v>2030</v>
      </c>
      <c r="F837" s="2" t="s">
        <v>97</v>
      </c>
      <c r="G837" s="2" t="s">
        <v>25</v>
      </c>
      <c r="H837" s="2" t="s">
        <v>26</v>
      </c>
      <c r="I837" s="2">
        <v>4606.3900000000003</v>
      </c>
      <c r="J837" s="2">
        <v>2</v>
      </c>
      <c r="K837" s="2">
        <v>1199.75</v>
      </c>
      <c r="L837" s="2"/>
    </row>
    <row r="838" spans="1:12" x14ac:dyDescent="0.25">
      <c r="A838" s="2" t="s">
        <v>2031</v>
      </c>
      <c r="B838" s="4" t="s">
        <v>2032</v>
      </c>
      <c r="C838" s="2" t="str">
        <f t="shared" si="26"/>
        <v>Mar</v>
      </c>
      <c r="D838" s="2">
        <f t="shared" si="27"/>
        <v>2025</v>
      </c>
      <c r="E838" s="2" t="s">
        <v>2033</v>
      </c>
      <c r="F838" s="2" t="s">
        <v>42</v>
      </c>
      <c r="G838" s="2" t="s">
        <v>54</v>
      </c>
      <c r="H838" s="2" t="s">
        <v>55</v>
      </c>
      <c r="I838" s="2">
        <v>3446.87</v>
      </c>
      <c r="J838" s="2">
        <v>6</v>
      </c>
      <c r="K838" s="2">
        <v>978.58</v>
      </c>
      <c r="L838" s="2"/>
    </row>
    <row r="839" spans="1:12" x14ac:dyDescent="0.25">
      <c r="A839" s="2" t="s">
        <v>2034</v>
      </c>
      <c r="B839" s="4" t="s">
        <v>613</v>
      </c>
      <c r="C839" s="2" t="str">
        <f t="shared" si="26"/>
        <v>May</v>
      </c>
      <c r="D839" s="2">
        <f t="shared" si="27"/>
        <v>2025</v>
      </c>
      <c r="E839" s="2" t="s">
        <v>2035</v>
      </c>
      <c r="F839" s="2" t="s">
        <v>38</v>
      </c>
      <c r="G839" s="2" t="s">
        <v>19</v>
      </c>
      <c r="H839" s="2" t="s">
        <v>63</v>
      </c>
      <c r="I839" s="2">
        <v>5860.23</v>
      </c>
      <c r="J839" s="2">
        <v>10</v>
      </c>
      <c r="K839" s="2">
        <v>753.21</v>
      </c>
      <c r="L839" s="2"/>
    </row>
    <row r="840" spans="1:12" x14ac:dyDescent="0.25">
      <c r="A840" s="2" t="s">
        <v>2036</v>
      </c>
      <c r="B840" s="4" t="s">
        <v>61</v>
      </c>
      <c r="C840" s="2" t="str">
        <f t="shared" si="26"/>
        <v>May</v>
      </c>
      <c r="D840" s="2">
        <f t="shared" si="27"/>
        <v>2025</v>
      </c>
      <c r="E840" s="2" t="s">
        <v>2037</v>
      </c>
      <c r="F840" s="2" t="s">
        <v>18</v>
      </c>
      <c r="G840" s="2" t="s">
        <v>19</v>
      </c>
      <c r="H840" s="2" t="s">
        <v>59</v>
      </c>
      <c r="I840" s="2">
        <v>31030.94</v>
      </c>
      <c r="J840" s="2">
        <v>6</v>
      </c>
      <c r="K840" s="2">
        <v>1176.55</v>
      </c>
      <c r="L840" s="2"/>
    </row>
    <row r="841" spans="1:12" x14ac:dyDescent="0.25">
      <c r="A841" s="2" t="s">
        <v>2038</v>
      </c>
      <c r="B841" s="4" t="s">
        <v>297</v>
      </c>
      <c r="C841" s="2" t="str">
        <f t="shared" si="26"/>
        <v>Dec</v>
      </c>
      <c r="D841" s="2">
        <f t="shared" si="27"/>
        <v>2025</v>
      </c>
      <c r="E841" s="2" t="s">
        <v>2039</v>
      </c>
      <c r="F841" s="2" t="s">
        <v>42</v>
      </c>
      <c r="G841" s="2" t="s">
        <v>25</v>
      </c>
      <c r="H841" s="2" t="s">
        <v>47</v>
      </c>
      <c r="I841" s="2">
        <v>43860.34</v>
      </c>
      <c r="J841" s="2">
        <v>7</v>
      </c>
      <c r="K841" s="2">
        <v>8820.33</v>
      </c>
      <c r="L841" s="2"/>
    </row>
    <row r="842" spans="1:12" x14ac:dyDescent="0.25">
      <c r="A842" s="2" t="s">
        <v>2040</v>
      </c>
      <c r="B842" s="4" t="s">
        <v>1420</v>
      </c>
      <c r="C842" s="2" t="str">
        <f t="shared" si="26"/>
        <v>Apr</v>
      </c>
      <c r="D842" s="2">
        <f t="shared" si="27"/>
        <v>2025</v>
      </c>
      <c r="E842" s="2" t="s">
        <v>2041</v>
      </c>
      <c r="F842" s="2" t="s">
        <v>42</v>
      </c>
      <c r="G842" s="2" t="s">
        <v>25</v>
      </c>
      <c r="H842" s="2" t="s">
        <v>26</v>
      </c>
      <c r="I842" s="2">
        <v>17357.650000000001</v>
      </c>
      <c r="J842" s="2">
        <v>6</v>
      </c>
      <c r="K842" s="2">
        <v>3426.28</v>
      </c>
      <c r="L842" s="2"/>
    </row>
    <row r="843" spans="1:12" x14ac:dyDescent="0.25">
      <c r="A843" s="2" t="s">
        <v>2042</v>
      </c>
      <c r="B843" s="4" t="s">
        <v>232</v>
      </c>
      <c r="C843" s="2" t="str">
        <f t="shared" si="26"/>
        <v>Mar</v>
      </c>
      <c r="D843" s="2">
        <f t="shared" si="27"/>
        <v>2025</v>
      </c>
      <c r="E843" s="2" t="s">
        <v>2043</v>
      </c>
      <c r="F843" s="2" t="s">
        <v>97</v>
      </c>
      <c r="G843" s="2" t="s">
        <v>13</v>
      </c>
      <c r="H843" s="2" t="s">
        <v>14</v>
      </c>
      <c r="I843" s="2">
        <v>19437.29</v>
      </c>
      <c r="J843" s="2">
        <v>1</v>
      </c>
      <c r="K843" s="2">
        <v>5751.47</v>
      </c>
      <c r="L843" s="2"/>
    </row>
    <row r="844" spans="1:12" x14ac:dyDescent="0.25">
      <c r="A844" s="2" t="s">
        <v>2044</v>
      </c>
      <c r="B844" s="4" t="s">
        <v>613</v>
      </c>
      <c r="C844" s="2" t="str">
        <f t="shared" si="26"/>
        <v>May</v>
      </c>
      <c r="D844" s="2">
        <f t="shared" si="27"/>
        <v>2025</v>
      </c>
      <c r="E844" s="2" t="s">
        <v>2045</v>
      </c>
      <c r="F844" s="2" t="s">
        <v>24</v>
      </c>
      <c r="G844" s="2" t="s">
        <v>54</v>
      </c>
      <c r="H844" s="2" t="s">
        <v>84</v>
      </c>
      <c r="I844" s="2">
        <v>24236.3</v>
      </c>
      <c r="J844" s="2">
        <v>1</v>
      </c>
      <c r="K844" s="2">
        <v>2401</v>
      </c>
      <c r="L844" s="2"/>
    </row>
    <row r="845" spans="1:12" x14ac:dyDescent="0.25">
      <c r="A845" s="2" t="s">
        <v>2046</v>
      </c>
      <c r="B845" s="4" t="s">
        <v>1058</v>
      </c>
      <c r="C845" s="2" t="str">
        <f t="shared" si="26"/>
        <v>May</v>
      </c>
      <c r="D845" s="2">
        <f t="shared" si="27"/>
        <v>2025</v>
      </c>
      <c r="E845" s="2" t="s">
        <v>2047</v>
      </c>
      <c r="F845" s="2" t="s">
        <v>12</v>
      </c>
      <c r="G845" s="2" t="s">
        <v>13</v>
      </c>
      <c r="H845" s="2" t="s">
        <v>73</v>
      </c>
      <c r="I845" s="2">
        <v>30538.63</v>
      </c>
      <c r="J845" s="2">
        <v>3</v>
      </c>
      <c r="K845" s="2">
        <v>6481.62</v>
      </c>
      <c r="L845" s="2"/>
    </row>
    <row r="846" spans="1:12" x14ac:dyDescent="0.25">
      <c r="A846" s="2" t="s">
        <v>2048</v>
      </c>
      <c r="B846" s="4" t="s">
        <v>501</v>
      </c>
      <c r="C846" s="2" t="str">
        <f t="shared" si="26"/>
        <v>Jul</v>
      </c>
      <c r="D846" s="2">
        <f t="shared" si="27"/>
        <v>2025</v>
      </c>
      <c r="E846" s="2" t="s">
        <v>2049</v>
      </c>
      <c r="F846" s="2" t="s">
        <v>34</v>
      </c>
      <c r="G846" s="2" t="s">
        <v>13</v>
      </c>
      <c r="H846" s="2" t="s">
        <v>121</v>
      </c>
      <c r="I846" s="2">
        <v>38693.599999999999</v>
      </c>
      <c r="J846" s="2">
        <v>10</v>
      </c>
      <c r="K846" s="2">
        <v>-1687.82</v>
      </c>
      <c r="L846" s="2"/>
    </row>
    <row r="847" spans="1:12" x14ac:dyDescent="0.25">
      <c r="A847" s="2" t="s">
        <v>2050</v>
      </c>
      <c r="B847" s="4" t="s">
        <v>1197</v>
      </c>
      <c r="C847" s="2" t="str">
        <f t="shared" si="26"/>
        <v>Aug</v>
      </c>
      <c r="D847" s="2">
        <f t="shared" si="27"/>
        <v>2025</v>
      </c>
      <c r="E847" s="2" t="s">
        <v>2051</v>
      </c>
      <c r="F847" s="2" t="s">
        <v>24</v>
      </c>
      <c r="G847" s="2" t="s">
        <v>13</v>
      </c>
      <c r="H847" s="2" t="s">
        <v>30</v>
      </c>
      <c r="I847" s="2">
        <v>20909.04</v>
      </c>
      <c r="J847" s="2">
        <v>7</v>
      </c>
      <c r="K847" s="2">
        <v>1344.28</v>
      </c>
      <c r="L847" s="2"/>
    </row>
    <row r="848" spans="1:12" x14ac:dyDescent="0.25">
      <c r="A848" s="2" t="s">
        <v>2052</v>
      </c>
      <c r="B848" s="4" t="s">
        <v>972</v>
      </c>
      <c r="C848" s="2" t="str">
        <f t="shared" si="26"/>
        <v>Dec</v>
      </c>
      <c r="D848" s="2">
        <f t="shared" si="27"/>
        <v>2025</v>
      </c>
      <c r="E848" s="2" t="s">
        <v>2053</v>
      </c>
      <c r="F848" s="2" t="s">
        <v>18</v>
      </c>
      <c r="G848" s="2" t="s">
        <v>25</v>
      </c>
      <c r="H848" s="2" t="s">
        <v>154</v>
      </c>
      <c r="I848" s="2">
        <v>6121.84</v>
      </c>
      <c r="J848" s="2">
        <v>6</v>
      </c>
      <c r="K848" s="2">
        <v>993</v>
      </c>
      <c r="L848" s="2"/>
    </row>
    <row r="849" spans="1:12" x14ac:dyDescent="0.25">
      <c r="A849" s="2" t="s">
        <v>2054</v>
      </c>
      <c r="B849" s="4" t="s">
        <v>372</v>
      </c>
      <c r="C849" s="2" t="str">
        <f t="shared" si="26"/>
        <v>Jun</v>
      </c>
      <c r="D849" s="2">
        <f t="shared" si="27"/>
        <v>2025</v>
      </c>
      <c r="E849" s="2" t="s">
        <v>2055</v>
      </c>
      <c r="F849" s="2" t="s">
        <v>42</v>
      </c>
      <c r="G849" s="2" t="s">
        <v>25</v>
      </c>
      <c r="H849" s="2" t="s">
        <v>365</v>
      </c>
      <c r="I849" s="2">
        <v>31071.27</v>
      </c>
      <c r="J849" s="2">
        <v>1</v>
      </c>
      <c r="K849" s="2">
        <v>6259.75</v>
      </c>
      <c r="L849" s="2"/>
    </row>
    <row r="850" spans="1:12" x14ac:dyDescent="0.25">
      <c r="A850" s="2" t="s">
        <v>2056</v>
      </c>
      <c r="B850" s="4" t="s">
        <v>2057</v>
      </c>
      <c r="C850" s="2" t="str">
        <f t="shared" si="26"/>
        <v>Sep</v>
      </c>
      <c r="D850" s="2">
        <f t="shared" si="27"/>
        <v>2025</v>
      </c>
      <c r="E850" s="2" t="s">
        <v>2058</v>
      </c>
      <c r="F850" s="2" t="s">
        <v>18</v>
      </c>
      <c r="G850" s="2" t="s">
        <v>54</v>
      </c>
      <c r="H850" s="2" t="s">
        <v>84</v>
      </c>
      <c r="I850" s="2">
        <v>24209.7</v>
      </c>
      <c r="J850" s="2">
        <v>5</v>
      </c>
      <c r="K850" s="2">
        <v>6603.75</v>
      </c>
      <c r="L850" s="2"/>
    </row>
    <row r="851" spans="1:12" x14ac:dyDescent="0.25">
      <c r="A851" s="2" t="s">
        <v>2059</v>
      </c>
      <c r="B851" s="4" t="s">
        <v>22</v>
      </c>
      <c r="C851" s="2" t="str">
        <f t="shared" si="26"/>
        <v>Mar</v>
      </c>
      <c r="D851" s="2">
        <f t="shared" si="27"/>
        <v>2025</v>
      </c>
      <c r="E851" s="2" t="s">
        <v>2060</v>
      </c>
      <c r="F851" s="2" t="s">
        <v>24</v>
      </c>
      <c r="G851" s="2" t="s">
        <v>19</v>
      </c>
      <c r="H851" s="2" t="s">
        <v>20</v>
      </c>
      <c r="I851" s="2">
        <v>37707.230000000003</v>
      </c>
      <c r="J851" s="2">
        <v>1</v>
      </c>
      <c r="K851" s="2">
        <v>2619.85</v>
      </c>
      <c r="L851" s="2"/>
    </row>
    <row r="852" spans="1:12" x14ac:dyDescent="0.25">
      <c r="A852" s="2" t="s">
        <v>2061</v>
      </c>
      <c r="B852" s="4" t="s">
        <v>2062</v>
      </c>
      <c r="C852" s="2" t="str">
        <f t="shared" si="26"/>
        <v>Aug</v>
      </c>
      <c r="D852" s="2">
        <f t="shared" si="27"/>
        <v>2025</v>
      </c>
      <c r="E852" s="2" t="s">
        <v>2063</v>
      </c>
      <c r="F852" s="2" t="s">
        <v>18</v>
      </c>
      <c r="G852" s="2" t="s">
        <v>54</v>
      </c>
      <c r="H852" s="2" t="s">
        <v>138</v>
      </c>
      <c r="I852" s="2">
        <v>26059.77</v>
      </c>
      <c r="J852" s="2">
        <v>5</v>
      </c>
      <c r="K852" s="2">
        <v>891.8</v>
      </c>
      <c r="L852" s="2"/>
    </row>
    <row r="853" spans="1:12" x14ac:dyDescent="0.25">
      <c r="A853" s="2" t="s">
        <v>2064</v>
      </c>
      <c r="B853" s="4" t="s">
        <v>232</v>
      </c>
      <c r="C853" s="2" t="str">
        <f t="shared" si="26"/>
        <v>Mar</v>
      </c>
      <c r="D853" s="2">
        <f t="shared" si="27"/>
        <v>2025</v>
      </c>
      <c r="E853" s="2" t="s">
        <v>2065</v>
      </c>
      <c r="F853" s="2" t="s">
        <v>34</v>
      </c>
      <c r="G853" s="2" t="s">
        <v>13</v>
      </c>
      <c r="H853" s="2" t="s">
        <v>73</v>
      </c>
      <c r="I853" s="2">
        <v>30980.76</v>
      </c>
      <c r="J853" s="2">
        <v>3</v>
      </c>
      <c r="K853" s="2">
        <v>8615.7199999999993</v>
      </c>
      <c r="L853" s="2"/>
    </row>
    <row r="854" spans="1:12" x14ac:dyDescent="0.25">
      <c r="A854" s="2" t="s">
        <v>2066</v>
      </c>
      <c r="B854" s="4" t="s">
        <v>600</v>
      </c>
      <c r="C854" s="2" t="str">
        <f t="shared" si="26"/>
        <v>Dec</v>
      </c>
      <c r="D854" s="2">
        <f t="shared" si="27"/>
        <v>2025</v>
      </c>
      <c r="E854" s="2" t="s">
        <v>2067</v>
      </c>
      <c r="F854" s="2" t="s">
        <v>34</v>
      </c>
      <c r="G854" s="2" t="s">
        <v>54</v>
      </c>
      <c r="H854" s="2" t="s">
        <v>111</v>
      </c>
      <c r="I854" s="2">
        <v>33574.339999999997</v>
      </c>
      <c r="J854" s="2">
        <v>8</v>
      </c>
      <c r="K854" s="2">
        <v>2190.83</v>
      </c>
      <c r="L854" s="2"/>
    </row>
    <row r="855" spans="1:12" x14ac:dyDescent="0.25">
      <c r="A855" s="2" t="s">
        <v>2068</v>
      </c>
      <c r="B855" s="4" t="s">
        <v>2032</v>
      </c>
      <c r="C855" s="2" t="str">
        <f t="shared" si="26"/>
        <v>Mar</v>
      </c>
      <c r="D855" s="2">
        <f t="shared" si="27"/>
        <v>2025</v>
      </c>
      <c r="E855" s="2" t="s">
        <v>2069</v>
      </c>
      <c r="F855" s="2" t="s">
        <v>34</v>
      </c>
      <c r="G855" s="2" t="s">
        <v>54</v>
      </c>
      <c r="H855" s="2" t="s">
        <v>190</v>
      </c>
      <c r="I855" s="2">
        <v>46197.17</v>
      </c>
      <c r="J855" s="2">
        <v>9</v>
      </c>
      <c r="K855" s="2">
        <v>8870.07</v>
      </c>
      <c r="L855" s="2"/>
    </row>
    <row r="856" spans="1:12" x14ac:dyDescent="0.25">
      <c r="A856" s="2" t="s">
        <v>2070</v>
      </c>
      <c r="B856" s="4" t="s">
        <v>116</v>
      </c>
      <c r="C856" s="2" t="str">
        <f t="shared" si="26"/>
        <v>Nov</v>
      </c>
      <c r="D856" s="2">
        <f t="shared" si="27"/>
        <v>2025</v>
      </c>
      <c r="E856" s="2" t="s">
        <v>2071</v>
      </c>
      <c r="F856" s="2" t="s">
        <v>18</v>
      </c>
      <c r="G856" s="2" t="s">
        <v>25</v>
      </c>
      <c r="H856" s="2" t="s">
        <v>154</v>
      </c>
      <c r="I856" s="2">
        <v>21303.8</v>
      </c>
      <c r="J856" s="2">
        <v>2</v>
      </c>
      <c r="K856" s="2">
        <v>-698.75</v>
      </c>
      <c r="L856" s="2"/>
    </row>
    <row r="857" spans="1:12" x14ac:dyDescent="0.25">
      <c r="A857" s="2" t="s">
        <v>2072</v>
      </c>
      <c r="B857" s="4" t="s">
        <v>581</v>
      </c>
      <c r="C857" s="2" t="str">
        <f t="shared" si="26"/>
        <v>Jun</v>
      </c>
      <c r="D857" s="2">
        <f t="shared" si="27"/>
        <v>2025</v>
      </c>
      <c r="E857" s="2" t="s">
        <v>2073</v>
      </c>
      <c r="F857" s="2" t="s">
        <v>42</v>
      </c>
      <c r="G857" s="2" t="s">
        <v>54</v>
      </c>
      <c r="H857" s="2" t="s">
        <v>84</v>
      </c>
      <c r="I857" s="2">
        <v>18319.12</v>
      </c>
      <c r="J857" s="2">
        <v>3</v>
      </c>
      <c r="K857" s="2">
        <v>-115.8</v>
      </c>
      <c r="L857" s="2"/>
    </row>
    <row r="858" spans="1:12" x14ac:dyDescent="0.25">
      <c r="A858" s="2" t="s">
        <v>2074</v>
      </c>
      <c r="B858" s="4" t="s">
        <v>2075</v>
      </c>
      <c r="C858" s="2" t="str">
        <f t="shared" si="26"/>
        <v>Sep</v>
      </c>
      <c r="D858" s="2">
        <f t="shared" si="27"/>
        <v>2025</v>
      </c>
      <c r="E858" s="2" t="s">
        <v>2076</v>
      </c>
      <c r="F858" s="2" t="s">
        <v>34</v>
      </c>
      <c r="G858" s="2" t="s">
        <v>19</v>
      </c>
      <c r="H858" s="2" t="s">
        <v>43</v>
      </c>
      <c r="I858" s="2">
        <v>4096.58</v>
      </c>
      <c r="J858" s="2">
        <v>3</v>
      </c>
      <c r="K858" s="2">
        <v>200.81</v>
      </c>
      <c r="L858" s="2"/>
    </row>
    <row r="859" spans="1:12" x14ac:dyDescent="0.25">
      <c r="A859" s="2" t="s">
        <v>2077</v>
      </c>
      <c r="B859" s="4" t="s">
        <v>28</v>
      </c>
      <c r="C859" s="2" t="str">
        <f t="shared" si="26"/>
        <v>Oct</v>
      </c>
      <c r="D859" s="2">
        <f t="shared" si="27"/>
        <v>2025</v>
      </c>
      <c r="E859" s="2" t="s">
        <v>2078</v>
      </c>
      <c r="F859" s="2" t="s">
        <v>42</v>
      </c>
      <c r="G859" s="2" t="s">
        <v>19</v>
      </c>
      <c r="H859" s="2" t="s">
        <v>43</v>
      </c>
      <c r="I859" s="2">
        <v>43997.37</v>
      </c>
      <c r="J859" s="2">
        <v>4</v>
      </c>
      <c r="K859" s="2">
        <v>1897.87</v>
      </c>
      <c r="L859" s="2"/>
    </row>
    <row r="860" spans="1:12" x14ac:dyDescent="0.25">
      <c r="A860" s="2" t="s">
        <v>2079</v>
      </c>
      <c r="B860" s="4" t="s">
        <v>1181</v>
      </c>
      <c r="C860" s="2" t="str">
        <f t="shared" si="26"/>
        <v>Mar</v>
      </c>
      <c r="D860" s="2">
        <f t="shared" si="27"/>
        <v>2025</v>
      </c>
      <c r="E860" s="2" t="s">
        <v>2080</v>
      </c>
      <c r="F860" s="2" t="s">
        <v>24</v>
      </c>
      <c r="G860" s="2" t="s">
        <v>19</v>
      </c>
      <c r="H860" s="2" t="s">
        <v>63</v>
      </c>
      <c r="I860" s="2">
        <v>29756.79</v>
      </c>
      <c r="J860" s="2">
        <v>7</v>
      </c>
      <c r="K860" s="2">
        <v>-591.36</v>
      </c>
      <c r="L860" s="2"/>
    </row>
    <row r="861" spans="1:12" x14ac:dyDescent="0.25">
      <c r="A861" s="2" t="s">
        <v>2081</v>
      </c>
      <c r="B861" s="4" t="s">
        <v>450</v>
      </c>
      <c r="C861" s="2" t="str">
        <f t="shared" si="26"/>
        <v>Sep</v>
      </c>
      <c r="D861" s="2">
        <f t="shared" si="27"/>
        <v>2025</v>
      </c>
      <c r="E861" s="2" t="s">
        <v>2082</v>
      </c>
      <c r="F861" s="2" t="s">
        <v>34</v>
      </c>
      <c r="G861" s="2" t="s">
        <v>19</v>
      </c>
      <c r="H861" s="2" t="s">
        <v>20</v>
      </c>
      <c r="I861" s="2">
        <v>28568.68</v>
      </c>
      <c r="J861" s="2">
        <v>5</v>
      </c>
      <c r="K861" s="2">
        <v>-1295.5</v>
      </c>
      <c r="L861" s="2"/>
    </row>
    <row r="862" spans="1:12" x14ac:dyDescent="0.25">
      <c r="A862" s="2" t="s">
        <v>2083</v>
      </c>
      <c r="B862" s="4" t="s">
        <v>566</v>
      </c>
      <c r="C862" s="2" t="str">
        <f t="shared" si="26"/>
        <v>Dec</v>
      </c>
      <c r="D862" s="2">
        <f t="shared" si="27"/>
        <v>2025</v>
      </c>
      <c r="E862" s="2" t="s">
        <v>2084</v>
      </c>
      <c r="F862" s="2" t="s">
        <v>97</v>
      </c>
      <c r="G862" s="2" t="s">
        <v>19</v>
      </c>
      <c r="H862" s="2" t="s">
        <v>20</v>
      </c>
      <c r="I862" s="2">
        <v>28168.71</v>
      </c>
      <c r="J862" s="2">
        <v>3</v>
      </c>
      <c r="K862" s="2">
        <v>-1067.4100000000001</v>
      </c>
      <c r="L862" s="2"/>
    </row>
    <row r="863" spans="1:12" x14ac:dyDescent="0.25">
      <c r="A863" s="2" t="s">
        <v>2085</v>
      </c>
      <c r="B863" s="4" t="s">
        <v>1682</v>
      </c>
      <c r="C863" s="2" t="str">
        <f t="shared" si="26"/>
        <v>Jun</v>
      </c>
      <c r="D863" s="2">
        <f t="shared" si="27"/>
        <v>2025</v>
      </c>
      <c r="E863" s="2" t="s">
        <v>2086</v>
      </c>
      <c r="F863" s="2" t="s">
        <v>24</v>
      </c>
      <c r="G863" s="2" t="s">
        <v>19</v>
      </c>
      <c r="H863" s="2" t="s">
        <v>63</v>
      </c>
      <c r="I863" s="2">
        <v>37374.199999999997</v>
      </c>
      <c r="J863" s="2">
        <v>10</v>
      </c>
      <c r="K863" s="2">
        <v>-57.52</v>
      </c>
      <c r="L863" s="2"/>
    </row>
    <row r="864" spans="1:12" x14ac:dyDescent="0.25">
      <c r="A864" s="2" t="s">
        <v>2087</v>
      </c>
      <c r="B864" s="4" t="s">
        <v>378</v>
      </c>
      <c r="C864" s="2" t="str">
        <f t="shared" si="26"/>
        <v>Sep</v>
      </c>
      <c r="D864" s="2">
        <f t="shared" si="27"/>
        <v>2025</v>
      </c>
      <c r="E864" s="2" t="s">
        <v>2088</v>
      </c>
      <c r="F864" s="2" t="s">
        <v>38</v>
      </c>
      <c r="G864" s="2" t="s">
        <v>54</v>
      </c>
      <c r="H864" s="2" t="s">
        <v>55</v>
      </c>
      <c r="I864" s="2">
        <v>48607.61</v>
      </c>
      <c r="J864" s="2">
        <v>4</v>
      </c>
      <c r="K864" s="2">
        <v>4903.8100000000004</v>
      </c>
      <c r="L864" s="2"/>
    </row>
    <row r="865" spans="1:12" x14ac:dyDescent="0.25">
      <c r="A865" s="2" t="s">
        <v>2089</v>
      </c>
      <c r="B865" s="4" t="s">
        <v>275</v>
      </c>
      <c r="C865" s="2" t="str">
        <f t="shared" si="26"/>
        <v>Sep</v>
      </c>
      <c r="D865" s="2">
        <f t="shared" si="27"/>
        <v>2025</v>
      </c>
      <c r="E865" s="2" t="s">
        <v>2090</v>
      </c>
      <c r="F865" s="2" t="s">
        <v>42</v>
      </c>
      <c r="G865" s="2" t="s">
        <v>25</v>
      </c>
      <c r="H865" s="2" t="s">
        <v>47</v>
      </c>
      <c r="I865" s="2">
        <v>17377.64</v>
      </c>
      <c r="J865" s="2">
        <v>4</v>
      </c>
      <c r="K865" s="2">
        <v>3341.34</v>
      </c>
      <c r="L865" s="2"/>
    </row>
    <row r="866" spans="1:12" x14ac:dyDescent="0.25">
      <c r="A866" s="2" t="s">
        <v>2091</v>
      </c>
      <c r="B866" s="4" t="s">
        <v>314</v>
      </c>
      <c r="C866" s="2" t="str">
        <f t="shared" si="26"/>
        <v>May</v>
      </c>
      <c r="D866" s="2">
        <f t="shared" si="27"/>
        <v>2025</v>
      </c>
      <c r="E866" s="2" t="s">
        <v>2092</v>
      </c>
      <c r="F866" s="2" t="s">
        <v>24</v>
      </c>
      <c r="G866" s="2" t="s">
        <v>13</v>
      </c>
      <c r="H866" s="2" t="s">
        <v>121</v>
      </c>
      <c r="I866" s="2">
        <v>33276.410000000003</v>
      </c>
      <c r="J866" s="2">
        <v>9</v>
      </c>
      <c r="K866" s="2">
        <v>9938.9</v>
      </c>
      <c r="L866" s="2"/>
    </row>
    <row r="867" spans="1:12" x14ac:dyDescent="0.25">
      <c r="A867" s="2" t="s">
        <v>2093</v>
      </c>
      <c r="B867" s="4" t="s">
        <v>806</v>
      </c>
      <c r="C867" s="2" t="str">
        <f t="shared" si="26"/>
        <v>Jun</v>
      </c>
      <c r="D867" s="2">
        <f t="shared" si="27"/>
        <v>2025</v>
      </c>
      <c r="E867" s="2" t="s">
        <v>2094</v>
      </c>
      <c r="F867" s="2" t="s">
        <v>97</v>
      </c>
      <c r="G867" s="2" t="s">
        <v>54</v>
      </c>
      <c r="H867" s="2" t="s">
        <v>84</v>
      </c>
      <c r="I867" s="2">
        <v>25626.67</v>
      </c>
      <c r="J867" s="2">
        <v>2</v>
      </c>
      <c r="K867" s="2">
        <v>1068.71</v>
      </c>
      <c r="L867" s="2"/>
    </row>
    <row r="868" spans="1:12" x14ac:dyDescent="0.25">
      <c r="A868" s="2" t="s">
        <v>2095</v>
      </c>
      <c r="B868" s="4" t="s">
        <v>1218</v>
      </c>
      <c r="C868" s="2" t="str">
        <f t="shared" si="26"/>
        <v>Dec</v>
      </c>
      <c r="D868" s="2">
        <f t="shared" si="27"/>
        <v>2025</v>
      </c>
      <c r="E868" s="2" t="s">
        <v>2096</v>
      </c>
      <c r="F868" s="2" t="s">
        <v>97</v>
      </c>
      <c r="G868" s="2" t="s">
        <v>13</v>
      </c>
      <c r="H868" s="2" t="s">
        <v>73</v>
      </c>
      <c r="I868" s="2">
        <v>24945</v>
      </c>
      <c r="J868" s="2">
        <v>10</v>
      </c>
      <c r="K868" s="2">
        <v>4420.8</v>
      </c>
      <c r="L868" s="2"/>
    </row>
    <row r="869" spans="1:12" x14ac:dyDescent="0.25">
      <c r="A869" s="2" t="s">
        <v>2097</v>
      </c>
      <c r="B869" s="4" t="s">
        <v>1938</v>
      </c>
      <c r="C869" s="2" t="str">
        <f t="shared" si="26"/>
        <v>Dec</v>
      </c>
      <c r="D869" s="2">
        <f t="shared" si="27"/>
        <v>2025</v>
      </c>
      <c r="E869" s="2" t="s">
        <v>2098</v>
      </c>
      <c r="F869" s="2" t="s">
        <v>18</v>
      </c>
      <c r="G869" s="2" t="s">
        <v>54</v>
      </c>
      <c r="H869" s="2" t="s">
        <v>55</v>
      </c>
      <c r="I869" s="2">
        <v>35084.68</v>
      </c>
      <c r="J869" s="2">
        <v>10</v>
      </c>
      <c r="K869" s="2">
        <v>4804.22</v>
      </c>
      <c r="L869" s="2"/>
    </row>
    <row r="870" spans="1:12" x14ac:dyDescent="0.25">
      <c r="A870" s="2" t="s">
        <v>2099</v>
      </c>
      <c r="B870" s="4" t="s">
        <v>455</v>
      </c>
      <c r="C870" s="2" t="str">
        <f t="shared" si="26"/>
        <v>May</v>
      </c>
      <c r="D870" s="2">
        <f t="shared" si="27"/>
        <v>2025</v>
      </c>
      <c r="E870" s="2" t="s">
        <v>2100</v>
      </c>
      <c r="F870" s="2" t="s">
        <v>97</v>
      </c>
      <c r="G870" s="2" t="s">
        <v>54</v>
      </c>
      <c r="H870" s="2" t="s">
        <v>111</v>
      </c>
      <c r="I870" s="2">
        <v>7974.18</v>
      </c>
      <c r="J870" s="2">
        <v>2</v>
      </c>
      <c r="K870" s="2">
        <v>1897.93</v>
      </c>
      <c r="L870" s="2"/>
    </row>
    <row r="871" spans="1:12" x14ac:dyDescent="0.25">
      <c r="A871" s="2" t="s">
        <v>2101</v>
      </c>
      <c r="B871" s="4" t="s">
        <v>126</v>
      </c>
      <c r="C871" s="2" t="str">
        <f t="shared" si="26"/>
        <v>Sep</v>
      </c>
      <c r="D871" s="2">
        <f t="shared" si="27"/>
        <v>2025</v>
      </c>
      <c r="E871" s="2" t="s">
        <v>2102</v>
      </c>
      <c r="F871" s="2" t="s">
        <v>42</v>
      </c>
      <c r="G871" s="2" t="s">
        <v>13</v>
      </c>
      <c r="H871" s="2" t="s">
        <v>14</v>
      </c>
      <c r="I871" s="2">
        <v>24292.25</v>
      </c>
      <c r="J871" s="2">
        <v>7</v>
      </c>
      <c r="K871" s="2">
        <v>5985.49</v>
      </c>
      <c r="L871" s="2"/>
    </row>
    <row r="872" spans="1:12" x14ac:dyDescent="0.25">
      <c r="A872" s="2" t="s">
        <v>2103</v>
      </c>
      <c r="B872" s="4" t="s">
        <v>1141</v>
      </c>
      <c r="C872" s="2" t="str">
        <f t="shared" si="26"/>
        <v>Jul</v>
      </c>
      <c r="D872" s="2">
        <f t="shared" si="27"/>
        <v>2025</v>
      </c>
      <c r="E872" s="2" t="s">
        <v>2104</v>
      </c>
      <c r="F872" s="2" t="s">
        <v>42</v>
      </c>
      <c r="G872" s="2" t="s">
        <v>13</v>
      </c>
      <c r="H872" s="2" t="s">
        <v>14</v>
      </c>
      <c r="I872" s="2">
        <v>43775.56</v>
      </c>
      <c r="J872" s="2">
        <v>10</v>
      </c>
      <c r="K872" s="2">
        <v>10787.51</v>
      </c>
      <c r="L872" s="2"/>
    </row>
    <row r="873" spans="1:12" x14ac:dyDescent="0.25">
      <c r="A873" s="2" t="s">
        <v>2105</v>
      </c>
      <c r="B873" s="4" t="s">
        <v>2106</v>
      </c>
      <c r="C873" s="2" t="str">
        <f t="shared" si="26"/>
        <v>Jan</v>
      </c>
      <c r="D873" s="2">
        <f t="shared" si="27"/>
        <v>2025</v>
      </c>
      <c r="E873" s="2" t="s">
        <v>2107</v>
      </c>
      <c r="F873" s="2" t="s">
        <v>42</v>
      </c>
      <c r="G873" s="2" t="s">
        <v>19</v>
      </c>
      <c r="H873" s="2" t="s">
        <v>20</v>
      </c>
      <c r="I873" s="2">
        <v>46874.19</v>
      </c>
      <c r="J873" s="2">
        <v>4</v>
      </c>
      <c r="K873" s="2">
        <v>3749.26</v>
      </c>
      <c r="L873" s="2"/>
    </row>
    <row r="874" spans="1:12" x14ac:dyDescent="0.25">
      <c r="A874" s="2" t="s">
        <v>2108</v>
      </c>
      <c r="B874" s="4" t="s">
        <v>1018</v>
      </c>
      <c r="C874" s="2" t="str">
        <f t="shared" si="26"/>
        <v>May</v>
      </c>
      <c r="D874" s="2">
        <f t="shared" si="27"/>
        <v>2025</v>
      </c>
      <c r="E874" s="2" t="s">
        <v>2109</v>
      </c>
      <c r="F874" s="2" t="s">
        <v>38</v>
      </c>
      <c r="G874" s="2" t="s">
        <v>19</v>
      </c>
      <c r="H874" s="2" t="s">
        <v>59</v>
      </c>
      <c r="I874" s="2">
        <v>31775.14</v>
      </c>
      <c r="J874" s="2">
        <v>9</v>
      </c>
      <c r="K874" s="2">
        <v>5595.46</v>
      </c>
      <c r="L874" s="2"/>
    </row>
    <row r="875" spans="1:12" x14ac:dyDescent="0.25">
      <c r="A875" s="2" t="s">
        <v>2110</v>
      </c>
      <c r="B875" s="4" t="s">
        <v>2111</v>
      </c>
      <c r="C875" s="2" t="str">
        <f t="shared" si="26"/>
        <v>Jul</v>
      </c>
      <c r="D875" s="2">
        <f t="shared" si="27"/>
        <v>2025</v>
      </c>
      <c r="E875" s="2" t="s">
        <v>2112</v>
      </c>
      <c r="F875" s="2" t="s">
        <v>24</v>
      </c>
      <c r="G875" s="2" t="s">
        <v>19</v>
      </c>
      <c r="H875" s="2" t="s">
        <v>59</v>
      </c>
      <c r="I875" s="2">
        <v>20495.669999999998</v>
      </c>
      <c r="J875" s="2">
        <v>10</v>
      </c>
      <c r="K875" s="2">
        <v>4334.6400000000003</v>
      </c>
      <c r="L875" s="2"/>
    </row>
    <row r="876" spans="1:12" x14ac:dyDescent="0.25">
      <c r="A876" s="2" t="s">
        <v>2113</v>
      </c>
      <c r="B876" s="4" t="s">
        <v>287</v>
      </c>
      <c r="C876" s="2" t="str">
        <f t="shared" si="26"/>
        <v>Oct</v>
      </c>
      <c r="D876" s="2">
        <f t="shared" si="27"/>
        <v>2025</v>
      </c>
      <c r="E876" s="2" t="s">
        <v>2114</v>
      </c>
      <c r="F876" s="2" t="s">
        <v>34</v>
      </c>
      <c r="G876" s="2" t="s">
        <v>54</v>
      </c>
      <c r="H876" s="2" t="s">
        <v>84</v>
      </c>
      <c r="I876" s="2">
        <v>13663.93</v>
      </c>
      <c r="J876" s="2">
        <v>9</v>
      </c>
      <c r="K876" s="2">
        <v>1515.08</v>
      </c>
      <c r="L876" s="2"/>
    </row>
    <row r="877" spans="1:12" x14ac:dyDescent="0.25">
      <c r="A877" s="2" t="s">
        <v>2115</v>
      </c>
      <c r="B877" s="4" t="s">
        <v>1570</v>
      </c>
      <c r="C877" s="2" t="str">
        <f t="shared" si="26"/>
        <v>Dec</v>
      </c>
      <c r="D877" s="2">
        <f t="shared" si="27"/>
        <v>2025</v>
      </c>
      <c r="E877" s="2" t="s">
        <v>2116</v>
      </c>
      <c r="F877" s="2" t="s">
        <v>97</v>
      </c>
      <c r="G877" s="2" t="s">
        <v>54</v>
      </c>
      <c r="H877" s="2" t="s">
        <v>138</v>
      </c>
      <c r="I877" s="2">
        <v>24768.33</v>
      </c>
      <c r="J877" s="2">
        <v>6</v>
      </c>
      <c r="K877" s="2">
        <v>3009.63</v>
      </c>
      <c r="L877" s="2"/>
    </row>
    <row r="878" spans="1:12" x14ac:dyDescent="0.25">
      <c r="A878" s="2" t="s">
        <v>2117</v>
      </c>
      <c r="B878" s="4" t="s">
        <v>2118</v>
      </c>
      <c r="C878" s="2" t="str">
        <f t="shared" si="26"/>
        <v>Aug</v>
      </c>
      <c r="D878" s="2">
        <f t="shared" si="27"/>
        <v>2025</v>
      </c>
      <c r="E878" s="2" t="s">
        <v>2119</v>
      </c>
      <c r="F878" s="2" t="s">
        <v>24</v>
      </c>
      <c r="G878" s="2" t="s">
        <v>13</v>
      </c>
      <c r="H878" s="2" t="s">
        <v>30</v>
      </c>
      <c r="I878" s="2">
        <v>29835.7</v>
      </c>
      <c r="J878" s="2">
        <v>4</v>
      </c>
      <c r="K878" s="2">
        <v>956.27</v>
      </c>
      <c r="L878" s="2"/>
    </row>
    <row r="879" spans="1:12" x14ac:dyDescent="0.25">
      <c r="A879" s="2" t="s">
        <v>2120</v>
      </c>
      <c r="B879" s="4" t="s">
        <v>1534</v>
      </c>
      <c r="C879" s="2" t="str">
        <f t="shared" si="26"/>
        <v>Jun</v>
      </c>
      <c r="D879" s="2">
        <f t="shared" si="27"/>
        <v>2025</v>
      </c>
      <c r="E879" s="2" t="s">
        <v>2121</v>
      </c>
      <c r="F879" s="2" t="s">
        <v>18</v>
      </c>
      <c r="G879" s="2" t="s">
        <v>25</v>
      </c>
      <c r="H879" s="2" t="s">
        <v>47</v>
      </c>
      <c r="I879" s="2">
        <v>16149.56</v>
      </c>
      <c r="J879" s="2">
        <v>10</v>
      </c>
      <c r="K879" s="2">
        <v>4713.72</v>
      </c>
      <c r="L879" s="2"/>
    </row>
    <row r="880" spans="1:12" x14ac:dyDescent="0.25">
      <c r="A880" s="2" t="s">
        <v>2122</v>
      </c>
      <c r="B880" s="4" t="s">
        <v>161</v>
      </c>
      <c r="C880" s="2" t="str">
        <f t="shared" si="26"/>
        <v>Jul</v>
      </c>
      <c r="D880" s="2">
        <f t="shared" si="27"/>
        <v>2025</v>
      </c>
      <c r="E880" s="2" t="s">
        <v>2123</v>
      </c>
      <c r="F880" s="2" t="s">
        <v>34</v>
      </c>
      <c r="G880" s="2" t="s">
        <v>13</v>
      </c>
      <c r="H880" s="2" t="s">
        <v>73</v>
      </c>
      <c r="I880" s="2">
        <v>32171.39</v>
      </c>
      <c r="J880" s="2">
        <v>8</v>
      </c>
      <c r="K880" s="2">
        <v>2257.85</v>
      </c>
      <c r="L880" s="2"/>
    </row>
    <row r="881" spans="1:12" x14ac:dyDescent="0.25">
      <c r="A881" s="2" t="s">
        <v>2124</v>
      </c>
      <c r="B881" s="4" t="s">
        <v>907</v>
      </c>
      <c r="C881" s="2" t="str">
        <f t="shared" si="26"/>
        <v>Jul</v>
      </c>
      <c r="D881" s="2">
        <f t="shared" si="27"/>
        <v>2025</v>
      </c>
      <c r="E881" s="2" t="s">
        <v>2125</v>
      </c>
      <c r="F881" s="2" t="s">
        <v>42</v>
      </c>
      <c r="G881" s="2" t="s">
        <v>54</v>
      </c>
      <c r="H881" s="2" t="s">
        <v>138</v>
      </c>
      <c r="I881" s="2">
        <v>10088.98</v>
      </c>
      <c r="J881" s="2">
        <v>3</v>
      </c>
      <c r="K881" s="2">
        <v>-87.07</v>
      </c>
      <c r="L881" s="2"/>
    </row>
    <row r="882" spans="1:12" x14ac:dyDescent="0.25">
      <c r="A882" s="2" t="s">
        <v>2126</v>
      </c>
      <c r="B882" s="4" t="s">
        <v>1218</v>
      </c>
      <c r="C882" s="2" t="str">
        <f t="shared" si="26"/>
        <v>Dec</v>
      </c>
      <c r="D882" s="2">
        <f t="shared" si="27"/>
        <v>2025</v>
      </c>
      <c r="E882" s="2" t="s">
        <v>2127</v>
      </c>
      <c r="F882" s="2" t="s">
        <v>38</v>
      </c>
      <c r="G882" s="2" t="s">
        <v>25</v>
      </c>
      <c r="H882" s="2" t="s">
        <v>169</v>
      </c>
      <c r="I882" s="2">
        <v>3413.16</v>
      </c>
      <c r="J882" s="2">
        <v>8</v>
      </c>
      <c r="K882" s="2">
        <v>956.94</v>
      </c>
      <c r="L882" s="2"/>
    </row>
    <row r="883" spans="1:12" x14ac:dyDescent="0.25">
      <c r="A883" s="2" t="s">
        <v>2128</v>
      </c>
      <c r="B883" s="4" t="s">
        <v>1861</v>
      </c>
      <c r="C883" s="2" t="str">
        <f t="shared" si="26"/>
        <v>May</v>
      </c>
      <c r="D883" s="2">
        <f t="shared" si="27"/>
        <v>2025</v>
      </c>
      <c r="E883" s="2" t="s">
        <v>2129</v>
      </c>
      <c r="F883" s="2" t="s">
        <v>42</v>
      </c>
      <c r="G883" s="2" t="s">
        <v>19</v>
      </c>
      <c r="H883" s="2" t="s">
        <v>43</v>
      </c>
      <c r="I883" s="2">
        <v>28036.34</v>
      </c>
      <c r="J883" s="2">
        <v>10</v>
      </c>
      <c r="K883" s="2">
        <v>5107.74</v>
      </c>
      <c r="L883" s="2"/>
    </row>
    <row r="884" spans="1:12" x14ac:dyDescent="0.25">
      <c r="A884" s="2" t="s">
        <v>2130</v>
      </c>
      <c r="B884" s="4" t="s">
        <v>866</v>
      </c>
      <c r="C884" s="2" t="str">
        <f t="shared" si="26"/>
        <v>Jul</v>
      </c>
      <c r="D884" s="2">
        <f t="shared" si="27"/>
        <v>2025</v>
      </c>
      <c r="E884" s="2" t="s">
        <v>2131</v>
      </c>
      <c r="F884" s="2" t="s">
        <v>38</v>
      </c>
      <c r="G884" s="2" t="s">
        <v>54</v>
      </c>
      <c r="H884" s="2" t="s">
        <v>138</v>
      </c>
      <c r="I884" s="2">
        <v>37531.18</v>
      </c>
      <c r="J884" s="2">
        <v>9</v>
      </c>
      <c r="K884" s="2">
        <v>10472.65</v>
      </c>
      <c r="L884" s="2"/>
    </row>
    <row r="885" spans="1:12" x14ac:dyDescent="0.25">
      <c r="A885" s="2" t="s">
        <v>2132</v>
      </c>
      <c r="B885" s="4" t="s">
        <v>281</v>
      </c>
      <c r="C885" s="2" t="str">
        <f t="shared" si="26"/>
        <v>Apr</v>
      </c>
      <c r="D885" s="2">
        <f t="shared" si="27"/>
        <v>2025</v>
      </c>
      <c r="E885" s="2" t="s">
        <v>2133</v>
      </c>
      <c r="F885" s="2" t="s">
        <v>97</v>
      </c>
      <c r="G885" s="2" t="s">
        <v>25</v>
      </c>
      <c r="H885" s="2" t="s">
        <v>365</v>
      </c>
      <c r="I885" s="2">
        <v>33098.160000000003</v>
      </c>
      <c r="J885" s="2">
        <v>8</v>
      </c>
      <c r="K885" s="2">
        <v>2935.53</v>
      </c>
      <c r="L885" s="2"/>
    </row>
    <row r="886" spans="1:12" x14ac:dyDescent="0.25">
      <c r="A886" s="2" t="s">
        <v>2134</v>
      </c>
      <c r="B886" s="4" t="s">
        <v>2135</v>
      </c>
      <c r="C886" s="2" t="str">
        <f t="shared" si="26"/>
        <v>Feb</v>
      </c>
      <c r="D886" s="2">
        <f t="shared" si="27"/>
        <v>2025</v>
      </c>
      <c r="E886" s="2" t="s">
        <v>2136</v>
      </c>
      <c r="F886" s="2" t="s">
        <v>38</v>
      </c>
      <c r="G886" s="2" t="s">
        <v>25</v>
      </c>
      <c r="H886" s="2" t="s">
        <v>169</v>
      </c>
      <c r="I886" s="2">
        <v>30089.3</v>
      </c>
      <c r="J886" s="2">
        <v>10</v>
      </c>
      <c r="K886" s="2">
        <v>5553.39</v>
      </c>
      <c r="L886" s="2"/>
    </row>
    <row r="887" spans="1:12" x14ac:dyDescent="0.25">
      <c r="A887" s="2" t="s">
        <v>2137</v>
      </c>
      <c r="B887" s="4" t="s">
        <v>1074</v>
      </c>
      <c r="C887" s="2" t="str">
        <f t="shared" si="26"/>
        <v>Dec</v>
      </c>
      <c r="D887" s="2">
        <f t="shared" si="27"/>
        <v>2025</v>
      </c>
      <c r="E887" s="2" t="s">
        <v>2138</v>
      </c>
      <c r="F887" s="2" t="s">
        <v>34</v>
      </c>
      <c r="G887" s="2" t="s">
        <v>54</v>
      </c>
      <c r="H887" s="2" t="s">
        <v>190</v>
      </c>
      <c r="I887" s="2">
        <v>38075.26</v>
      </c>
      <c r="J887" s="2">
        <v>5</v>
      </c>
      <c r="K887" s="2">
        <v>9032.9599999999991</v>
      </c>
      <c r="L887" s="2"/>
    </row>
    <row r="888" spans="1:12" x14ac:dyDescent="0.25">
      <c r="A888" s="2" t="s">
        <v>2139</v>
      </c>
      <c r="B888" s="4" t="s">
        <v>563</v>
      </c>
      <c r="C888" s="2" t="str">
        <f t="shared" si="26"/>
        <v>Oct</v>
      </c>
      <c r="D888" s="2">
        <f t="shared" si="27"/>
        <v>2025</v>
      </c>
      <c r="E888" s="2" t="s">
        <v>2140</v>
      </c>
      <c r="F888" s="2" t="s">
        <v>18</v>
      </c>
      <c r="G888" s="2" t="s">
        <v>19</v>
      </c>
      <c r="H888" s="2" t="s">
        <v>63</v>
      </c>
      <c r="I888" s="2">
        <v>26280.62</v>
      </c>
      <c r="J888" s="2">
        <v>9</v>
      </c>
      <c r="K888" s="2">
        <v>1085.0999999999999</v>
      </c>
      <c r="L888" s="2"/>
    </row>
    <row r="889" spans="1:12" x14ac:dyDescent="0.25">
      <c r="A889" s="2" t="s">
        <v>2141</v>
      </c>
      <c r="B889" s="4" t="s">
        <v>806</v>
      </c>
      <c r="C889" s="2" t="str">
        <f t="shared" si="26"/>
        <v>Jun</v>
      </c>
      <c r="D889" s="2">
        <f t="shared" si="27"/>
        <v>2025</v>
      </c>
      <c r="E889" s="2" t="s">
        <v>2142</v>
      </c>
      <c r="F889" s="2" t="s">
        <v>34</v>
      </c>
      <c r="G889" s="2" t="s">
        <v>25</v>
      </c>
      <c r="H889" s="2" t="s">
        <v>365</v>
      </c>
      <c r="I889" s="2">
        <v>42297.77</v>
      </c>
      <c r="J889" s="2">
        <v>10</v>
      </c>
      <c r="K889" s="2">
        <v>9001.7900000000009</v>
      </c>
      <c r="L889" s="2"/>
    </row>
    <row r="890" spans="1:12" x14ac:dyDescent="0.25">
      <c r="A890" s="2" t="s">
        <v>2143</v>
      </c>
      <c r="B890" s="4" t="s">
        <v>323</v>
      </c>
      <c r="C890" s="2" t="str">
        <f t="shared" si="26"/>
        <v>Nov</v>
      </c>
      <c r="D890" s="2">
        <f t="shared" si="27"/>
        <v>2025</v>
      </c>
      <c r="E890" s="2" t="s">
        <v>2144</v>
      </c>
      <c r="F890" s="2" t="s">
        <v>42</v>
      </c>
      <c r="G890" s="2" t="s">
        <v>19</v>
      </c>
      <c r="H890" s="2" t="s">
        <v>43</v>
      </c>
      <c r="I890" s="2">
        <v>23765.759999999998</v>
      </c>
      <c r="J890" s="2">
        <v>10</v>
      </c>
      <c r="K890" s="2">
        <v>4935.7700000000004</v>
      </c>
      <c r="L890" s="2"/>
    </row>
    <row r="891" spans="1:12" x14ac:dyDescent="0.25">
      <c r="A891" s="2" t="s">
        <v>2145</v>
      </c>
      <c r="B891" s="4" t="s">
        <v>1507</v>
      </c>
      <c r="C891" s="2" t="str">
        <f t="shared" si="26"/>
        <v>Jun</v>
      </c>
      <c r="D891" s="2">
        <f t="shared" si="27"/>
        <v>2025</v>
      </c>
      <c r="E891" s="2" t="s">
        <v>2146</v>
      </c>
      <c r="F891" s="2" t="s">
        <v>18</v>
      </c>
      <c r="G891" s="2" t="s">
        <v>25</v>
      </c>
      <c r="H891" s="2" t="s">
        <v>169</v>
      </c>
      <c r="I891" s="2">
        <v>18994.82</v>
      </c>
      <c r="J891" s="2">
        <v>10</v>
      </c>
      <c r="K891" s="2">
        <v>2224.87</v>
      </c>
      <c r="L891" s="2"/>
    </row>
    <row r="892" spans="1:12" x14ac:dyDescent="0.25">
      <c r="A892" s="2" t="s">
        <v>2147</v>
      </c>
      <c r="B892" s="4" t="s">
        <v>79</v>
      </c>
      <c r="C892" s="2" t="str">
        <f t="shared" si="26"/>
        <v>Apr</v>
      </c>
      <c r="D892" s="2">
        <f t="shared" si="27"/>
        <v>2025</v>
      </c>
      <c r="E892" s="2" t="s">
        <v>2148</v>
      </c>
      <c r="F892" s="2" t="s">
        <v>38</v>
      </c>
      <c r="G892" s="2" t="s">
        <v>54</v>
      </c>
      <c r="H892" s="2" t="s">
        <v>190</v>
      </c>
      <c r="I892" s="2">
        <v>20924.37</v>
      </c>
      <c r="J892" s="2">
        <v>7</v>
      </c>
      <c r="K892" s="2">
        <v>3603.3</v>
      </c>
      <c r="L892" s="2"/>
    </row>
    <row r="893" spans="1:12" x14ac:dyDescent="0.25">
      <c r="A893" s="2" t="s">
        <v>2149</v>
      </c>
      <c r="B893" s="4" t="s">
        <v>1579</v>
      </c>
      <c r="C893" s="2" t="str">
        <f t="shared" si="26"/>
        <v>Jul</v>
      </c>
      <c r="D893" s="2">
        <f t="shared" si="27"/>
        <v>2025</v>
      </c>
      <c r="E893" s="2" t="s">
        <v>2150</v>
      </c>
      <c r="F893" s="2" t="s">
        <v>12</v>
      </c>
      <c r="G893" s="2" t="s">
        <v>19</v>
      </c>
      <c r="H893" s="2" t="s">
        <v>20</v>
      </c>
      <c r="I893" s="2">
        <v>33799.129999999997</v>
      </c>
      <c r="J893" s="2">
        <v>10</v>
      </c>
      <c r="K893" s="2">
        <v>-1103.8</v>
      </c>
      <c r="L893" s="2"/>
    </row>
    <row r="894" spans="1:12" x14ac:dyDescent="0.25">
      <c r="A894" s="2" t="s">
        <v>2151</v>
      </c>
      <c r="B894" s="4" t="s">
        <v>400</v>
      </c>
      <c r="C894" s="2" t="str">
        <f t="shared" si="26"/>
        <v>Feb</v>
      </c>
      <c r="D894" s="2">
        <f t="shared" si="27"/>
        <v>2025</v>
      </c>
      <c r="E894" s="2" t="s">
        <v>2152</v>
      </c>
      <c r="F894" s="2" t="s">
        <v>97</v>
      </c>
      <c r="G894" s="2" t="s">
        <v>54</v>
      </c>
      <c r="H894" s="2" t="s">
        <v>190</v>
      </c>
      <c r="I894" s="2">
        <v>17276.53</v>
      </c>
      <c r="J894" s="2">
        <v>4</v>
      </c>
      <c r="K894" s="2">
        <v>2818.08</v>
      </c>
      <c r="L894" s="2"/>
    </row>
    <row r="895" spans="1:12" x14ac:dyDescent="0.25">
      <c r="A895" s="2" t="s">
        <v>2153</v>
      </c>
      <c r="B895" s="4" t="s">
        <v>621</v>
      </c>
      <c r="C895" s="2" t="str">
        <f t="shared" si="26"/>
        <v>Nov</v>
      </c>
      <c r="D895" s="2">
        <f t="shared" si="27"/>
        <v>2025</v>
      </c>
      <c r="E895" s="2" t="s">
        <v>2154</v>
      </c>
      <c r="F895" s="2" t="s">
        <v>24</v>
      </c>
      <c r="G895" s="2" t="s">
        <v>54</v>
      </c>
      <c r="H895" s="2" t="s">
        <v>138</v>
      </c>
      <c r="I895" s="2">
        <v>24723.16</v>
      </c>
      <c r="J895" s="2">
        <v>2</v>
      </c>
      <c r="K895" s="2">
        <v>-94.4</v>
      </c>
      <c r="L895" s="2"/>
    </row>
    <row r="896" spans="1:12" x14ac:dyDescent="0.25">
      <c r="A896" s="2" t="s">
        <v>2155</v>
      </c>
      <c r="B896" s="4" t="s">
        <v>99</v>
      </c>
      <c r="C896" s="2" t="str">
        <f t="shared" si="26"/>
        <v>Jul</v>
      </c>
      <c r="D896" s="2">
        <f t="shared" si="27"/>
        <v>2025</v>
      </c>
      <c r="E896" s="2" t="s">
        <v>2156</v>
      </c>
      <c r="F896" s="2" t="s">
        <v>12</v>
      </c>
      <c r="G896" s="2" t="s">
        <v>54</v>
      </c>
      <c r="H896" s="2" t="s">
        <v>55</v>
      </c>
      <c r="I896" s="2">
        <v>43567.06</v>
      </c>
      <c r="J896" s="2">
        <v>6</v>
      </c>
      <c r="K896" s="2">
        <v>-1040</v>
      </c>
      <c r="L896" s="2"/>
    </row>
    <row r="897" spans="1:12" x14ac:dyDescent="0.25">
      <c r="A897" s="2" t="s">
        <v>2157</v>
      </c>
      <c r="B897" s="4" t="s">
        <v>746</v>
      </c>
      <c r="C897" s="2" t="str">
        <f t="shared" si="26"/>
        <v>Nov</v>
      </c>
      <c r="D897" s="2">
        <f t="shared" si="27"/>
        <v>2025</v>
      </c>
      <c r="E897" s="2" t="s">
        <v>2158</v>
      </c>
      <c r="F897" s="2" t="s">
        <v>42</v>
      </c>
      <c r="G897" s="2" t="s">
        <v>19</v>
      </c>
      <c r="H897" s="2" t="s">
        <v>43</v>
      </c>
      <c r="I897" s="2">
        <v>38576.1</v>
      </c>
      <c r="J897" s="2">
        <v>10</v>
      </c>
      <c r="K897" s="2">
        <v>3259.39</v>
      </c>
      <c r="L897" s="2"/>
    </row>
    <row r="898" spans="1:12" x14ac:dyDescent="0.25">
      <c r="A898" s="2" t="s">
        <v>2159</v>
      </c>
      <c r="B898" s="4" t="s">
        <v>661</v>
      </c>
      <c r="C898" s="2" t="str">
        <f t="shared" si="26"/>
        <v>Mar</v>
      </c>
      <c r="D898" s="2">
        <f t="shared" si="27"/>
        <v>2025</v>
      </c>
      <c r="E898" s="2" t="s">
        <v>2160</v>
      </c>
      <c r="F898" s="2" t="s">
        <v>34</v>
      </c>
      <c r="G898" s="2" t="s">
        <v>19</v>
      </c>
      <c r="H898" s="2" t="s">
        <v>20</v>
      </c>
      <c r="I898" s="2">
        <v>33303.47</v>
      </c>
      <c r="J898" s="2">
        <v>1</v>
      </c>
      <c r="K898" s="2">
        <v>174.09</v>
      </c>
      <c r="L898" s="2"/>
    </row>
    <row r="899" spans="1:12" x14ac:dyDescent="0.25">
      <c r="A899" s="2" t="s">
        <v>2161</v>
      </c>
      <c r="B899" s="4" t="s">
        <v>192</v>
      </c>
      <c r="C899" s="2" t="str">
        <f t="shared" ref="C899:C962" si="28">TEXT(B899, "mmm")</f>
        <v>Apr</v>
      </c>
      <c r="D899" s="2">
        <f t="shared" ref="D899:D962" si="29">YEAR(B899)</f>
        <v>2025</v>
      </c>
      <c r="E899" s="2" t="s">
        <v>2162</v>
      </c>
      <c r="F899" s="2" t="s">
        <v>34</v>
      </c>
      <c r="G899" s="2" t="s">
        <v>54</v>
      </c>
      <c r="H899" s="2" t="s">
        <v>111</v>
      </c>
      <c r="I899" s="2">
        <v>10794.92</v>
      </c>
      <c r="J899" s="2">
        <v>6</v>
      </c>
      <c r="K899" s="2">
        <v>-266.22000000000003</v>
      </c>
      <c r="L899" s="2"/>
    </row>
    <row r="900" spans="1:12" x14ac:dyDescent="0.25">
      <c r="A900" s="2" t="s">
        <v>2163</v>
      </c>
      <c r="B900" s="4" t="s">
        <v>828</v>
      </c>
      <c r="C900" s="2" t="str">
        <f t="shared" si="28"/>
        <v>Jun</v>
      </c>
      <c r="D900" s="2">
        <f t="shared" si="29"/>
        <v>2025</v>
      </c>
      <c r="E900" s="2" t="s">
        <v>2164</v>
      </c>
      <c r="F900" s="2" t="s">
        <v>18</v>
      </c>
      <c r="G900" s="2" t="s">
        <v>25</v>
      </c>
      <c r="H900" s="2" t="s">
        <v>365</v>
      </c>
      <c r="I900" s="2">
        <v>37154.89</v>
      </c>
      <c r="J900" s="2">
        <v>2</v>
      </c>
      <c r="K900" s="2">
        <v>10038.06</v>
      </c>
      <c r="L900" s="2"/>
    </row>
    <row r="901" spans="1:12" x14ac:dyDescent="0.25">
      <c r="A901" s="2" t="s">
        <v>2165</v>
      </c>
      <c r="B901" s="4" t="s">
        <v>217</v>
      </c>
      <c r="C901" s="2" t="str">
        <f t="shared" si="28"/>
        <v>Mar</v>
      </c>
      <c r="D901" s="2">
        <f t="shared" si="29"/>
        <v>2025</v>
      </c>
      <c r="E901" s="2" t="s">
        <v>2166</v>
      </c>
      <c r="F901" s="2" t="s">
        <v>18</v>
      </c>
      <c r="G901" s="2" t="s">
        <v>19</v>
      </c>
      <c r="H901" s="2" t="s">
        <v>101</v>
      </c>
      <c r="I901" s="2">
        <v>1479.06</v>
      </c>
      <c r="J901" s="2">
        <v>2</v>
      </c>
      <c r="K901" s="2">
        <v>276.19</v>
      </c>
      <c r="L901" s="2"/>
    </row>
    <row r="902" spans="1:12" x14ac:dyDescent="0.25">
      <c r="A902" s="2" t="s">
        <v>2167</v>
      </c>
      <c r="B902" s="4" t="s">
        <v>1112</v>
      </c>
      <c r="C902" s="2" t="str">
        <f t="shared" si="28"/>
        <v>Jan</v>
      </c>
      <c r="D902" s="2">
        <f t="shared" si="29"/>
        <v>2025</v>
      </c>
      <c r="E902" s="2" t="s">
        <v>2168</v>
      </c>
      <c r="F902" s="2" t="s">
        <v>12</v>
      </c>
      <c r="G902" s="2" t="s">
        <v>13</v>
      </c>
      <c r="H902" s="2" t="s">
        <v>30</v>
      </c>
      <c r="I902" s="2">
        <v>42245.77</v>
      </c>
      <c r="J902" s="2">
        <v>7</v>
      </c>
      <c r="K902" s="2">
        <v>10331.35</v>
      </c>
      <c r="L902" s="2"/>
    </row>
    <row r="903" spans="1:12" x14ac:dyDescent="0.25">
      <c r="A903" s="2" t="s">
        <v>2169</v>
      </c>
      <c r="B903" s="4" t="s">
        <v>232</v>
      </c>
      <c r="C903" s="2" t="str">
        <f t="shared" si="28"/>
        <v>Mar</v>
      </c>
      <c r="D903" s="2">
        <f t="shared" si="29"/>
        <v>2025</v>
      </c>
      <c r="E903" s="2" t="s">
        <v>2170</v>
      </c>
      <c r="F903" s="2" t="s">
        <v>38</v>
      </c>
      <c r="G903" s="2" t="s">
        <v>19</v>
      </c>
      <c r="H903" s="2" t="s">
        <v>20</v>
      </c>
      <c r="I903" s="2">
        <v>46039.69</v>
      </c>
      <c r="J903" s="2">
        <v>2</v>
      </c>
      <c r="K903" s="2">
        <v>8840.5499999999993</v>
      </c>
      <c r="L903" s="2"/>
    </row>
    <row r="904" spans="1:12" x14ac:dyDescent="0.25">
      <c r="A904" s="2" t="s">
        <v>2171</v>
      </c>
      <c r="B904" s="4" t="s">
        <v>300</v>
      </c>
      <c r="C904" s="2" t="str">
        <f t="shared" si="28"/>
        <v>Oct</v>
      </c>
      <c r="D904" s="2">
        <f t="shared" si="29"/>
        <v>2025</v>
      </c>
      <c r="E904" s="2" t="s">
        <v>1152</v>
      </c>
      <c r="F904" s="2" t="s">
        <v>24</v>
      </c>
      <c r="G904" s="2" t="s">
        <v>25</v>
      </c>
      <c r="H904" s="2" t="s">
        <v>169</v>
      </c>
      <c r="I904" s="2">
        <v>26865.11</v>
      </c>
      <c r="J904" s="2">
        <v>10</v>
      </c>
      <c r="K904" s="2">
        <v>1220.5899999999999</v>
      </c>
      <c r="L904" s="2"/>
    </row>
    <row r="905" spans="1:12" x14ac:dyDescent="0.25">
      <c r="A905" s="2" t="s">
        <v>2172</v>
      </c>
      <c r="B905" s="4" t="s">
        <v>152</v>
      </c>
      <c r="C905" s="2" t="str">
        <f t="shared" si="28"/>
        <v>Apr</v>
      </c>
      <c r="D905" s="2">
        <f t="shared" si="29"/>
        <v>2025</v>
      </c>
      <c r="E905" s="2" t="s">
        <v>2173</v>
      </c>
      <c r="F905" s="2" t="s">
        <v>18</v>
      </c>
      <c r="G905" s="2" t="s">
        <v>13</v>
      </c>
      <c r="H905" s="2" t="s">
        <v>77</v>
      </c>
      <c r="I905" s="2">
        <v>33822.92</v>
      </c>
      <c r="J905" s="2">
        <v>5</v>
      </c>
      <c r="K905" s="2">
        <v>7224.61</v>
      </c>
      <c r="L905" s="2"/>
    </row>
    <row r="906" spans="1:12" x14ac:dyDescent="0.25">
      <c r="A906" s="2" t="s">
        <v>2174</v>
      </c>
      <c r="B906" s="4" t="s">
        <v>1030</v>
      </c>
      <c r="C906" s="2" t="str">
        <f t="shared" si="28"/>
        <v>Feb</v>
      </c>
      <c r="D906" s="2">
        <f t="shared" si="29"/>
        <v>2025</v>
      </c>
      <c r="E906" s="2" t="s">
        <v>2175</v>
      </c>
      <c r="F906" s="2" t="s">
        <v>12</v>
      </c>
      <c r="G906" s="2" t="s">
        <v>54</v>
      </c>
      <c r="H906" s="2" t="s">
        <v>111</v>
      </c>
      <c r="I906" s="2">
        <v>13796.69</v>
      </c>
      <c r="J906" s="2">
        <v>3</v>
      </c>
      <c r="K906" s="2">
        <v>3367.47</v>
      </c>
      <c r="L906" s="2"/>
    </row>
    <row r="907" spans="1:12" x14ac:dyDescent="0.25">
      <c r="A907" s="2" t="s">
        <v>2176</v>
      </c>
      <c r="B907" s="4" t="s">
        <v>1192</v>
      </c>
      <c r="C907" s="2" t="str">
        <f t="shared" si="28"/>
        <v>Sep</v>
      </c>
      <c r="D907" s="2">
        <f t="shared" si="29"/>
        <v>2025</v>
      </c>
      <c r="E907" s="2" t="s">
        <v>2177</v>
      </c>
      <c r="F907" s="2" t="s">
        <v>42</v>
      </c>
      <c r="G907" s="2" t="s">
        <v>13</v>
      </c>
      <c r="H907" s="2" t="s">
        <v>14</v>
      </c>
      <c r="I907" s="2">
        <v>17468.36</v>
      </c>
      <c r="J907" s="2">
        <v>2</v>
      </c>
      <c r="K907" s="2">
        <v>1876.08</v>
      </c>
      <c r="L907" s="2"/>
    </row>
    <row r="908" spans="1:12" x14ac:dyDescent="0.25">
      <c r="A908" s="2" t="s">
        <v>2178</v>
      </c>
      <c r="B908" s="4" t="s">
        <v>378</v>
      </c>
      <c r="C908" s="2" t="str">
        <f t="shared" si="28"/>
        <v>Sep</v>
      </c>
      <c r="D908" s="2">
        <f t="shared" si="29"/>
        <v>2025</v>
      </c>
      <c r="E908" s="2" t="s">
        <v>2179</v>
      </c>
      <c r="F908" s="2" t="s">
        <v>24</v>
      </c>
      <c r="G908" s="2" t="s">
        <v>54</v>
      </c>
      <c r="H908" s="2" t="s">
        <v>138</v>
      </c>
      <c r="I908" s="2">
        <v>41506.43</v>
      </c>
      <c r="J908" s="2">
        <v>9</v>
      </c>
      <c r="K908" s="2">
        <v>2005.74</v>
      </c>
      <c r="L908" s="2"/>
    </row>
    <row r="909" spans="1:12" x14ac:dyDescent="0.25">
      <c r="A909" s="2" t="s">
        <v>2180</v>
      </c>
      <c r="B909" s="4" t="s">
        <v>177</v>
      </c>
      <c r="C909" s="2" t="str">
        <f t="shared" si="28"/>
        <v>Jun</v>
      </c>
      <c r="D909" s="2">
        <f t="shared" si="29"/>
        <v>2025</v>
      </c>
      <c r="E909" s="2" t="s">
        <v>2181</v>
      </c>
      <c r="F909" s="2" t="s">
        <v>38</v>
      </c>
      <c r="G909" s="2" t="s">
        <v>13</v>
      </c>
      <c r="H909" s="2" t="s">
        <v>73</v>
      </c>
      <c r="I909" s="2">
        <v>16050.05</v>
      </c>
      <c r="J909" s="2">
        <v>9</v>
      </c>
      <c r="K909" s="2">
        <v>685.29</v>
      </c>
      <c r="L909" s="2"/>
    </row>
    <row r="910" spans="1:12" x14ac:dyDescent="0.25">
      <c r="A910" s="2" t="s">
        <v>2182</v>
      </c>
      <c r="B910" s="4" t="s">
        <v>972</v>
      </c>
      <c r="C910" s="2" t="str">
        <f t="shared" si="28"/>
        <v>Dec</v>
      </c>
      <c r="D910" s="2">
        <f t="shared" si="29"/>
        <v>2025</v>
      </c>
      <c r="E910" s="2" t="s">
        <v>2183</v>
      </c>
      <c r="F910" s="2" t="s">
        <v>97</v>
      </c>
      <c r="G910" s="2" t="s">
        <v>54</v>
      </c>
      <c r="H910" s="2" t="s">
        <v>190</v>
      </c>
      <c r="I910" s="2">
        <v>38359.18</v>
      </c>
      <c r="J910" s="2">
        <v>1</v>
      </c>
      <c r="K910" s="2">
        <v>-1899.36</v>
      </c>
      <c r="L910" s="2"/>
    </row>
    <row r="911" spans="1:12" x14ac:dyDescent="0.25">
      <c r="A911" s="2" t="s">
        <v>2184</v>
      </c>
      <c r="B911" s="4" t="s">
        <v>10</v>
      </c>
      <c r="C911" s="2" t="str">
        <f t="shared" si="28"/>
        <v>Jun</v>
      </c>
      <c r="D911" s="2">
        <f t="shared" si="29"/>
        <v>2025</v>
      </c>
      <c r="E911" s="2" t="s">
        <v>2185</v>
      </c>
      <c r="F911" s="2" t="s">
        <v>42</v>
      </c>
      <c r="G911" s="2" t="s">
        <v>19</v>
      </c>
      <c r="H911" s="2" t="s">
        <v>101</v>
      </c>
      <c r="I911" s="2">
        <v>1193.8499999999999</v>
      </c>
      <c r="J911" s="2">
        <v>7</v>
      </c>
      <c r="K911" s="2">
        <v>116.49</v>
      </c>
      <c r="L911" s="2"/>
    </row>
    <row r="912" spans="1:12" x14ac:dyDescent="0.25">
      <c r="A912" s="2" t="s">
        <v>2186</v>
      </c>
      <c r="B912" s="4" t="s">
        <v>1704</v>
      </c>
      <c r="C912" s="2" t="str">
        <f t="shared" si="28"/>
        <v>Aug</v>
      </c>
      <c r="D912" s="2">
        <f t="shared" si="29"/>
        <v>2025</v>
      </c>
      <c r="E912" s="2" t="s">
        <v>2187</v>
      </c>
      <c r="F912" s="2" t="s">
        <v>38</v>
      </c>
      <c r="G912" s="2" t="s">
        <v>13</v>
      </c>
      <c r="H912" s="2" t="s">
        <v>77</v>
      </c>
      <c r="I912" s="2">
        <v>3381.83</v>
      </c>
      <c r="J912" s="2">
        <v>4</v>
      </c>
      <c r="K912" s="2">
        <v>14.42</v>
      </c>
      <c r="L912" s="2"/>
    </row>
    <row r="913" spans="1:12" x14ac:dyDescent="0.25">
      <c r="A913" s="2" t="s">
        <v>2188</v>
      </c>
      <c r="B913" s="4" t="s">
        <v>1690</v>
      </c>
      <c r="C913" s="2" t="str">
        <f t="shared" si="28"/>
        <v>Nov</v>
      </c>
      <c r="D913" s="2">
        <f t="shared" si="29"/>
        <v>2025</v>
      </c>
      <c r="E913" s="2" t="s">
        <v>2189</v>
      </c>
      <c r="F913" s="2" t="s">
        <v>18</v>
      </c>
      <c r="G913" s="2" t="s">
        <v>13</v>
      </c>
      <c r="H913" s="2" t="s">
        <v>77</v>
      </c>
      <c r="I913" s="2">
        <v>15349.95</v>
      </c>
      <c r="J913" s="2">
        <v>1</v>
      </c>
      <c r="K913" s="2">
        <v>157.96</v>
      </c>
      <c r="L913" s="2"/>
    </row>
    <row r="914" spans="1:12" x14ac:dyDescent="0.25">
      <c r="A914" s="2" t="s">
        <v>2190</v>
      </c>
      <c r="B914" s="4" t="s">
        <v>40</v>
      </c>
      <c r="C914" s="2" t="str">
        <f t="shared" si="28"/>
        <v>Jun</v>
      </c>
      <c r="D914" s="2">
        <f t="shared" si="29"/>
        <v>2025</v>
      </c>
      <c r="E914" s="2" t="s">
        <v>2191</v>
      </c>
      <c r="F914" s="2" t="s">
        <v>97</v>
      </c>
      <c r="G914" s="2" t="s">
        <v>13</v>
      </c>
      <c r="H914" s="2" t="s">
        <v>77</v>
      </c>
      <c r="I914" s="2">
        <v>39430.559999999998</v>
      </c>
      <c r="J914" s="2">
        <v>1</v>
      </c>
      <c r="K914" s="2">
        <v>10735.48</v>
      </c>
      <c r="L914" s="2"/>
    </row>
    <row r="915" spans="1:12" x14ac:dyDescent="0.25">
      <c r="A915" s="2" t="s">
        <v>2192</v>
      </c>
      <c r="B915" s="4" t="s">
        <v>143</v>
      </c>
      <c r="C915" s="2" t="str">
        <f t="shared" si="28"/>
        <v>Dec</v>
      </c>
      <c r="D915" s="2">
        <f t="shared" si="29"/>
        <v>2025</v>
      </c>
      <c r="E915" s="2" t="s">
        <v>2193</v>
      </c>
      <c r="F915" s="2" t="s">
        <v>34</v>
      </c>
      <c r="G915" s="2" t="s">
        <v>13</v>
      </c>
      <c r="H915" s="2" t="s">
        <v>30</v>
      </c>
      <c r="I915" s="2">
        <v>18575.63</v>
      </c>
      <c r="J915" s="2">
        <v>4</v>
      </c>
      <c r="K915" s="2">
        <v>2047.72</v>
      </c>
      <c r="L915" s="2"/>
    </row>
    <row r="916" spans="1:12" x14ac:dyDescent="0.25">
      <c r="A916" s="2" t="s">
        <v>2194</v>
      </c>
      <c r="B916" s="4" t="s">
        <v>650</v>
      </c>
      <c r="C916" s="2" t="str">
        <f t="shared" si="28"/>
        <v>Jan</v>
      </c>
      <c r="D916" s="2">
        <f t="shared" si="29"/>
        <v>2025</v>
      </c>
      <c r="E916" s="2" t="s">
        <v>2195</v>
      </c>
      <c r="F916" s="2" t="s">
        <v>12</v>
      </c>
      <c r="G916" s="2" t="s">
        <v>13</v>
      </c>
      <c r="H916" s="2" t="s">
        <v>77</v>
      </c>
      <c r="I916" s="2">
        <v>43093.5</v>
      </c>
      <c r="J916" s="2">
        <v>7</v>
      </c>
      <c r="K916" s="2">
        <v>6666.12</v>
      </c>
      <c r="L916" s="2"/>
    </row>
    <row r="917" spans="1:12" x14ac:dyDescent="0.25">
      <c r="A917" s="2" t="s">
        <v>2196</v>
      </c>
      <c r="B917" s="4" t="s">
        <v>2197</v>
      </c>
      <c r="C917" s="2" t="str">
        <f t="shared" si="28"/>
        <v>Oct</v>
      </c>
      <c r="D917" s="2">
        <f t="shared" si="29"/>
        <v>2025</v>
      </c>
      <c r="E917" s="2" t="s">
        <v>2198</v>
      </c>
      <c r="F917" s="2" t="s">
        <v>24</v>
      </c>
      <c r="G917" s="2" t="s">
        <v>25</v>
      </c>
      <c r="H917" s="2" t="s">
        <v>365</v>
      </c>
      <c r="I917" s="2">
        <v>3852.42</v>
      </c>
      <c r="J917" s="2">
        <v>8</v>
      </c>
      <c r="K917" s="2">
        <v>88.6</v>
      </c>
      <c r="L917" s="2"/>
    </row>
    <row r="918" spans="1:12" x14ac:dyDescent="0.25">
      <c r="A918" s="2" t="s">
        <v>2199</v>
      </c>
      <c r="B918" s="4" t="s">
        <v>287</v>
      </c>
      <c r="C918" s="2" t="str">
        <f t="shared" si="28"/>
        <v>Oct</v>
      </c>
      <c r="D918" s="2">
        <f t="shared" si="29"/>
        <v>2025</v>
      </c>
      <c r="E918" s="2" t="s">
        <v>2200</v>
      </c>
      <c r="F918" s="2" t="s">
        <v>97</v>
      </c>
      <c r="G918" s="2" t="s">
        <v>13</v>
      </c>
      <c r="H918" s="2" t="s">
        <v>14</v>
      </c>
      <c r="I918" s="2">
        <v>34403.08</v>
      </c>
      <c r="J918" s="2">
        <v>2</v>
      </c>
      <c r="K918" s="2">
        <v>8481.4599999999991</v>
      </c>
      <c r="L918" s="2"/>
    </row>
    <row r="919" spans="1:12" x14ac:dyDescent="0.25">
      <c r="A919" s="2" t="s">
        <v>2201</v>
      </c>
      <c r="B919" s="4" t="s">
        <v>1136</v>
      </c>
      <c r="C919" s="2" t="str">
        <f t="shared" si="28"/>
        <v>Apr</v>
      </c>
      <c r="D919" s="2">
        <f t="shared" si="29"/>
        <v>2025</v>
      </c>
      <c r="E919" s="2" t="s">
        <v>2202</v>
      </c>
      <c r="F919" s="2" t="s">
        <v>18</v>
      </c>
      <c r="G919" s="2" t="s">
        <v>54</v>
      </c>
      <c r="H919" s="2" t="s">
        <v>111</v>
      </c>
      <c r="I919" s="2">
        <v>44243.68</v>
      </c>
      <c r="J919" s="2">
        <v>7</v>
      </c>
      <c r="K919" s="2">
        <v>3457.55</v>
      </c>
      <c r="L919" s="2"/>
    </row>
    <row r="920" spans="1:12" x14ac:dyDescent="0.25">
      <c r="A920" s="2" t="s">
        <v>2203</v>
      </c>
      <c r="B920" s="4" t="s">
        <v>1916</v>
      </c>
      <c r="C920" s="2" t="str">
        <f t="shared" si="28"/>
        <v>Sep</v>
      </c>
      <c r="D920" s="2">
        <f t="shared" si="29"/>
        <v>2025</v>
      </c>
      <c r="E920" s="2" t="s">
        <v>2204</v>
      </c>
      <c r="F920" s="2" t="s">
        <v>34</v>
      </c>
      <c r="G920" s="2" t="s">
        <v>13</v>
      </c>
      <c r="H920" s="2" t="s">
        <v>77</v>
      </c>
      <c r="I920" s="2">
        <v>1602.58</v>
      </c>
      <c r="J920" s="2">
        <v>3</v>
      </c>
      <c r="K920" s="2">
        <v>415.12</v>
      </c>
      <c r="L920" s="2"/>
    </row>
    <row r="921" spans="1:12" x14ac:dyDescent="0.25">
      <c r="A921" s="2" t="s">
        <v>2205</v>
      </c>
      <c r="B921" s="4" t="s">
        <v>226</v>
      </c>
      <c r="C921" s="2" t="str">
        <f t="shared" si="28"/>
        <v>Feb</v>
      </c>
      <c r="D921" s="2">
        <f t="shared" si="29"/>
        <v>2025</v>
      </c>
      <c r="E921" s="2" t="s">
        <v>2206</v>
      </c>
      <c r="F921" s="2" t="s">
        <v>97</v>
      </c>
      <c r="G921" s="2" t="s">
        <v>13</v>
      </c>
      <c r="H921" s="2" t="s">
        <v>121</v>
      </c>
      <c r="I921" s="2">
        <v>2450.8200000000002</v>
      </c>
      <c r="J921" s="2">
        <v>5</v>
      </c>
      <c r="K921" s="2">
        <v>104.2</v>
      </c>
      <c r="L921" s="2"/>
    </row>
    <row r="922" spans="1:12" x14ac:dyDescent="0.25">
      <c r="A922" s="2" t="s">
        <v>2207</v>
      </c>
      <c r="B922" s="4" t="s">
        <v>586</v>
      </c>
      <c r="C922" s="2" t="str">
        <f t="shared" si="28"/>
        <v>Jan</v>
      </c>
      <c r="D922" s="2">
        <f t="shared" si="29"/>
        <v>2025</v>
      </c>
      <c r="E922" s="2" t="s">
        <v>2208</v>
      </c>
      <c r="F922" s="2" t="s">
        <v>97</v>
      </c>
      <c r="G922" s="2" t="s">
        <v>19</v>
      </c>
      <c r="H922" s="2" t="s">
        <v>20</v>
      </c>
      <c r="I922" s="2">
        <v>15395.66</v>
      </c>
      <c r="J922" s="2">
        <v>1</v>
      </c>
      <c r="K922" s="2">
        <v>3228.23</v>
      </c>
      <c r="L922" s="2"/>
    </row>
    <row r="923" spans="1:12" x14ac:dyDescent="0.25">
      <c r="A923" s="2" t="s">
        <v>2209</v>
      </c>
      <c r="B923" s="4" t="s">
        <v>1806</v>
      </c>
      <c r="C923" s="2" t="str">
        <f t="shared" si="28"/>
        <v>Oct</v>
      </c>
      <c r="D923" s="2">
        <f t="shared" si="29"/>
        <v>2025</v>
      </c>
      <c r="E923" s="2" t="s">
        <v>2210</v>
      </c>
      <c r="F923" s="2" t="s">
        <v>18</v>
      </c>
      <c r="G923" s="2" t="s">
        <v>54</v>
      </c>
      <c r="H923" s="2" t="s">
        <v>55</v>
      </c>
      <c r="I923" s="2">
        <v>18897.150000000001</v>
      </c>
      <c r="J923" s="2">
        <v>1</v>
      </c>
      <c r="K923" s="2">
        <v>1428.56</v>
      </c>
      <c r="L923" s="2"/>
    </row>
    <row r="924" spans="1:12" x14ac:dyDescent="0.25">
      <c r="A924" s="2" t="s">
        <v>2211</v>
      </c>
      <c r="B924" s="4" t="s">
        <v>874</v>
      </c>
      <c r="C924" s="2" t="str">
        <f t="shared" si="28"/>
        <v>Dec</v>
      </c>
      <c r="D924" s="2">
        <f t="shared" si="29"/>
        <v>2025</v>
      </c>
      <c r="E924" s="2" t="s">
        <v>2212</v>
      </c>
      <c r="F924" s="2" t="s">
        <v>34</v>
      </c>
      <c r="G924" s="2" t="s">
        <v>19</v>
      </c>
      <c r="H924" s="2" t="s">
        <v>43</v>
      </c>
      <c r="I924" s="2">
        <v>36697.160000000003</v>
      </c>
      <c r="J924" s="2">
        <v>10</v>
      </c>
      <c r="K924" s="2">
        <v>578.12</v>
      </c>
      <c r="L924" s="2"/>
    </row>
    <row r="925" spans="1:12" x14ac:dyDescent="0.25">
      <c r="A925" s="2" t="s">
        <v>2213</v>
      </c>
      <c r="B925" s="4" t="s">
        <v>600</v>
      </c>
      <c r="C925" s="2" t="str">
        <f t="shared" si="28"/>
        <v>Dec</v>
      </c>
      <c r="D925" s="2">
        <f t="shared" si="29"/>
        <v>2025</v>
      </c>
      <c r="E925" s="2" t="s">
        <v>2214</v>
      </c>
      <c r="F925" s="2" t="s">
        <v>38</v>
      </c>
      <c r="G925" s="2" t="s">
        <v>13</v>
      </c>
      <c r="H925" s="2" t="s">
        <v>121</v>
      </c>
      <c r="I925" s="2">
        <v>42343.7</v>
      </c>
      <c r="J925" s="2">
        <v>6</v>
      </c>
      <c r="K925" s="2">
        <v>2739.96</v>
      </c>
      <c r="L925" s="2"/>
    </row>
    <row r="926" spans="1:12" x14ac:dyDescent="0.25">
      <c r="A926" s="2" t="s">
        <v>2215</v>
      </c>
      <c r="B926" s="4" t="s">
        <v>284</v>
      </c>
      <c r="C926" s="2" t="str">
        <f t="shared" si="28"/>
        <v>Nov</v>
      </c>
      <c r="D926" s="2">
        <f t="shared" si="29"/>
        <v>2025</v>
      </c>
      <c r="E926" s="2" t="s">
        <v>2216</v>
      </c>
      <c r="F926" s="2" t="s">
        <v>24</v>
      </c>
      <c r="G926" s="2" t="s">
        <v>54</v>
      </c>
      <c r="H926" s="2" t="s">
        <v>190</v>
      </c>
      <c r="I926" s="2">
        <v>28769.360000000001</v>
      </c>
      <c r="J926" s="2">
        <v>6</v>
      </c>
      <c r="K926" s="2">
        <v>5151.41</v>
      </c>
      <c r="L926" s="2"/>
    </row>
    <row r="927" spans="1:12" x14ac:dyDescent="0.25">
      <c r="A927" s="2" t="s">
        <v>2217</v>
      </c>
      <c r="B927" s="4" t="s">
        <v>758</v>
      </c>
      <c r="C927" s="2" t="str">
        <f t="shared" si="28"/>
        <v>May</v>
      </c>
      <c r="D927" s="2">
        <f t="shared" si="29"/>
        <v>2025</v>
      </c>
      <c r="E927" s="2" t="s">
        <v>2218</v>
      </c>
      <c r="F927" s="2" t="s">
        <v>97</v>
      </c>
      <c r="G927" s="2" t="s">
        <v>19</v>
      </c>
      <c r="H927" s="2" t="s">
        <v>63</v>
      </c>
      <c r="I927" s="2">
        <v>40539.980000000003</v>
      </c>
      <c r="J927" s="2">
        <v>4</v>
      </c>
      <c r="K927" s="2">
        <v>9664.4599999999991</v>
      </c>
      <c r="L927" s="2"/>
    </row>
    <row r="928" spans="1:12" x14ac:dyDescent="0.25">
      <c r="A928" s="2" t="s">
        <v>2219</v>
      </c>
      <c r="B928" s="4" t="s">
        <v>149</v>
      </c>
      <c r="C928" s="2" t="str">
        <f t="shared" si="28"/>
        <v>May</v>
      </c>
      <c r="D928" s="2">
        <f t="shared" si="29"/>
        <v>2025</v>
      </c>
      <c r="E928" s="2" t="s">
        <v>2220</v>
      </c>
      <c r="F928" s="2" t="s">
        <v>34</v>
      </c>
      <c r="G928" s="2" t="s">
        <v>19</v>
      </c>
      <c r="H928" s="2" t="s">
        <v>43</v>
      </c>
      <c r="I928" s="2">
        <v>34318.81</v>
      </c>
      <c r="J928" s="2">
        <v>3</v>
      </c>
      <c r="K928" s="2">
        <v>8930.6200000000008</v>
      </c>
      <c r="L928" s="2"/>
    </row>
    <row r="929" spans="1:12" x14ac:dyDescent="0.25">
      <c r="A929" s="2" t="s">
        <v>2221</v>
      </c>
      <c r="B929" s="4" t="s">
        <v>1197</v>
      </c>
      <c r="C929" s="2" t="str">
        <f t="shared" si="28"/>
        <v>Aug</v>
      </c>
      <c r="D929" s="2">
        <f t="shared" si="29"/>
        <v>2025</v>
      </c>
      <c r="E929" s="2" t="s">
        <v>2222</v>
      </c>
      <c r="F929" s="2" t="s">
        <v>38</v>
      </c>
      <c r="G929" s="2" t="s">
        <v>25</v>
      </c>
      <c r="H929" s="2" t="s">
        <v>154</v>
      </c>
      <c r="I929" s="2">
        <v>24527.13</v>
      </c>
      <c r="J929" s="2">
        <v>7</v>
      </c>
      <c r="K929" s="2">
        <v>4606.33</v>
      </c>
      <c r="L929" s="2"/>
    </row>
    <row r="930" spans="1:12" x14ac:dyDescent="0.25">
      <c r="A930" s="2" t="s">
        <v>2223</v>
      </c>
      <c r="B930" s="4" t="s">
        <v>2224</v>
      </c>
      <c r="C930" s="2" t="str">
        <f t="shared" si="28"/>
        <v>Apr</v>
      </c>
      <c r="D930" s="2">
        <f t="shared" si="29"/>
        <v>2025</v>
      </c>
      <c r="E930" s="2" t="s">
        <v>2225</v>
      </c>
      <c r="F930" s="2" t="s">
        <v>34</v>
      </c>
      <c r="G930" s="2" t="s">
        <v>19</v>
      </c>
      <c r="H930" s="2" t="s">
        <v>101</v>
      </c>
      <c r="I930" s="2">
        <v>10301.73</v>
      </c>
      <c r="J930" s="2">
        <v>1</v>
      </c>
      <c r="K930" s="2">
        <v>-173.17</v>
      </c>
      <c r="L930" s="2"/>
    </row>
    <row r="931" spans="1:12" x14ac:dyDescent="0.25">
      <c r="A931" s="2" t="s">
        <v>2226</v>
      </c>
      <c r="B931" s="4" t="s">
        <v>317</v>
      </c>
      <c r="C931" s="2" t="str">
        <f t="shared" si="28"/>
        <v>Jul</v>
      </c>
      <c r="D931" s="2">
        <f t="shared" si="29"/>
        <v>2025</v>
      </c>
      <c r="E931" s="2" t="s">
        <v>2227</v>
      </c>
      <c r="F931" s="2" t="s">
        <v>38</v>
      </c>
      <c r="G931" s="2" t="s">
        <v>54</v>
      </c>
      <c r="H931" s="2" t="s">
        <v>138</v>
      </c>
      <c r="I931" s="2">
        <v>8615.25</v>
      </c>
      <c r="J931" s="2">
        <v>5</v>
      </c>
      <c r="K931" s="2">
        <v>204.02</v>
      </c>
      <c r="L931" s="2"/>
    </row>
    <row r="932" spans="1:12" x14ac:dyDescent="0.25">
      <c r="A932" s="2" t="s">
        <v>2228</v>
      </c>
      <c r="B932" s="4" t="s">
        <v>116</v>
      </c>
      <c r="C932" s="2" t="str">
        <f t="shared" si="28"/>
        <v>Nov</v>
      </c>
      <c r="D932" s="2">
        <f t="shared" si="29"/>
        <v>2025</v>
      </c>
      <c r="E932" s="2" t="s">
        <v>2229</v>
      </c>
      <c r="F932" s="2" t="s">
        <v>24</v>
      </c>
      <c r="G932" s="2" t="s">
        <v>25</v>
      </c>
      <c r="H932" s="2" t="s">
        <v>169</v>
      </c>
      <c r="I932" s="2">
        <v>17034.57</v>
      </c>
      <c r="J932" s="2">
        <v>10</v>
      </c>
      <c r="K932" s="2">
        <v>2055.88</v>
      </c>
      <c r="L932" s="2"/>
    </row>
    <row r="933" spans="1:12" x14ac:dyDescent="0.25">
      <c r="A933" s="2" t="s">
        <v>2230</v>
      </c>
      <c r="B933" s="4" t="s">
        <v>1495</v>
      </c>
      <c r="C933" s="2" t="str">
        <f t="shared" si="28"/>
        <v>Apr</v>
      </c>
      <c r="D933" s="2">
        <f t="shared" si="29"/>
        <v>2025</v>
      </c>
      <c r="E933" s="2" t="s">
        <v>2231</v>
      </c>
      <c r="F933" s="2" t="s">
        <v>24</v>
      </c>
      <c r="G933" s="2" t="s">
        <v>19</v>
      </c>
      <c r="H933" s="2" t="s">
        <v>20</v>
      </c>
      <c r="I933" s="2">
        <v>17764.27</v>
      </c>
      <c r="J933" s="2">
        <v>4</v>
      </c>
      <c r="K933" s="2">
        <v>4861.63</v>
      </c>
      <c r="L933" s="2"/>
    </row>
    <row r="934" spans="1:12" x14ac:dyDescent="0.25">
      <c r="A934" s="2" t="s">
        <v>2232</v>
      </c>
      <c r="B934" s="4" t="s">
        <v>1080</v>
      </c>
      <c r="C934" s="2" t="str">
        <f t="shared" si="28"/>
        <v>Mar</v>
      </c>
      <c r="D934" s="2">
        <f t="shared" si="29"/>
        <v>2025</v>
      </c>
      <c r="E934" s="2" t="s">
        <v>2233</v>
      </c>
      <c r="F934" s="2" t="s">
        <v>18</v>
      </c>
      <c r="G934" s="2" t="s">
        <v>13</v>
      </c>
      <c r="H934" s="2" t="s">
        <v>14</v>
      </c>
      <c r="I934" s="2">
        <v>21580.73</v>
      </c>
      <c r="J934" s="2">
        <v>5</v>
      </c>
      <c r="K934" s="2">
        <v>2787.11</v>
      </c>
      <c r="L934" s="2"/>
    </row>
    <row r="935" spans="1:12" x14ac:dyDescent="0.25">
      <c r="A935" s="2" t="s">
        <v>2234</v>
      </c>
      <c r="B935" s="4" t="s">
        <v>671</v>
      </c>
      <c r="C935" s="2" t="str">
        <f t="shared" si="28"/>
        <v>Oct</v>
      </c>
      <c r="D935" s="2">
        <f t="shared" si="29"/>
        <v>2025</v>
      </c>
      <c r="E935" s="2" t="s">
        <v>2235</v>
      </c>
      <c r="F935" s="2" t="s">
        <v>42</v>
      </c>
      <c r="G935" s="2" t="s">
        <v>25</v>
      </c>
      <c r="H935" s="2" t="s">
        <v>47</v>
      </c>
      <c r="I935" s="2">
        <v>18270.240000000002</v>
      </c>
      <c r="J935" s="2">
        <v>3</v>
      </c>
      <c r="K935" s="2">
        <v>915.1</v>
      </c>
      <c r="L935" s="2"/>
    </row>
    <row r="936" spans="1:12" x14ac:dyDescent="0.25">
      <c r="A936" s="2" t="s">
        <v>2236</v>
      </c>
      <c r="B936" s="4" t="s">
        <v>492</v>
      </c>
      <c r="C936" s="2" t="str">
        <f t="shared" si="28"/>
        <v>Jul</v>
      </c>
      <c r="D936" s="2">
        <f t="shared" si="29"/>
        <v>2025</v>
      </c>
      <c r="E936" s="2" t="s">
        <v>2237</v>
      </c>
      <c r="F936" s="2" t="s">
        <v>12</v>
      </c>
      <c r="G936" s="2" t="s">
        <v>19</v>
      </c>
      <c r="H936" s="2" t="s">
        <v>101</v>
      </c>
      <c r="I936" s="2">
        <v>12113.56</v>
      </c>
      <c r="J936" s="2">
        <v>4</v>
      </c>
      <c r="K936" s="2">
        <v>-64.38</v>
      </c>
      <c r="L936" s="2"/>
    </row>
    <row r="937" spans="1:12" x14ac:dyDescent="0.25">
      <c r="A937" s="2" t="s">
        <v>2238</v>
      </c>
      <c r="B937" s="4" t="s">
        <v>1945</v>
      </c>
      <c r="C937" s="2" t="str">
        <f t="shared" si="28"/>
        <v>Apr</v>
      </c>
      <c r="D937" s="2">
        <f t="shared" si="29"/>
        <v>2025</v>
      </c>
      <c r="E937" s="2" t="s">
        <v>2239</v>
      </c>
      <c r="F937" s="2" t="s">
        <v>34</v>
      </c>
      <c r="G937" s="2" t="s">
        <v>19</v>
      </c>
      <c r="H937" s="2" t="s">
        <v>20</v>
      </c>
      <c r="I937" s="2">
        <v>36245.040000000001</v>
      </c>
      <c r="J937" s="2">
        <v>6</v>
      </c>
      <c r="K937" s="2">
        <v>4250.87</v>
      </c>
      <c r="L937" s="2"/>
    </row>
    <row r="938" spans="1:12" x14ac:dyDescent="0.25">
      <c r="A938" s="2" t="s">
        <v>2240</v>
      </c>
      <c r="B938" s="4" t="s">
        <v>932</v>
      </c>
      <c r="C938" s="2" t="str">
        <f t="shared" si="28"/>
        <v>Nov</v>
      </c>
      <c r="D938" s="2">
        <f t="shared" si="29"/>
        <v>2025</v>
      </c>
      <c r="E938" s="2" t="s">
        <v>2241</v>
      </c>
      <c r="F938" s="2" t="s">
        <v>12</v>
      </c>
      <c r="G938" s="2" t="s">
        <v>54</v>
      </c>
      <c r="H938" s="2" t="s">
        <v>138</v>
      </c>
      <c r="I938" s="2">
        <v>11683.43</v>
      </c>
      <c r="J938" s="2">
        <v>2</v>
      </c>
      <c r="K938" s="2">
        <v>901.39</v>
      </c>
      <c r="L938" s="2"/>
    </row>
    <row r="939" spans="1:12" x14ac:dyDescent="0.25">
      <c r="A939" s="2" t="s">
        <v>2242</v>
      </c>
      <c r="B939" s="4" t="s">
        <v>1806</v>
      </c>
      <c r="C939" s="2" t="str">
        <f t="shared" si="28"/>
        <v>Oct</v>
      </c>
      <c r="D939" s="2">
        <f t="shared" si="29"/>
        <v>2025</v>
      </c>
      <c r="E939" s="2" t="s">
        <v>2243</v>
      </c>
      <c r="F939" s="2" t="s">
        <v>42</v>
      </c>
      <c r="G939" s="2" t="s">
        <v>13</v>
      </c>
      <c r="H939" s="2" t="s">
        <v>121</v>
      </c>
      <c r="I939" s="2">
        <v>8078.14</v>
      </c>
      <c r="J939" s="2">
        <v>9</v>
      </c>
      <c r="K939" s="2">
        <v>798.09</v>
      </c>
      <c r="L939" s="2"/>
    </row>
    <row r="940" spans="1:12" x14ac:dyDescent="0.25">
      <c r="A940" s="2" t="s">
        <v>2244</v>
      </c>
      <c r="B940" s="4" t="s">
        <v>621</v>
      </c>
      <c r="C940" s="2" t="str">
        <f t="shared" si="28"/>
        <v>Nov</v>
      </c>
      <c r="D940" s="2">
        <f t="shared" si="29"/>
        <v>2025</v>
      </c>
      <c r="E940" s="2" t="s">
        <v>2245</v>
      </c>
      <c r="F940" s="2" t="s">
        <v>24</v>
      </c>
      <c r="G940" s="2" t="s">
        <v>19</v>
      </c>
      <c r="H940" s="2" t="s">
        <v>59</v>
      </c>
      <c r="I940" s="2">
        <v>45026.54</v>
      </c>
      <c r="J940" s="2">
        <v>10</v>
      </c>
      <c r="K940" s="2">
        <v>1428.68</v>
      </c>
      <c r="L940" s="2"/>
    </row>
    <row r="941" spans="1:12" x14ac:dyDescent="0.25">
      <c r="A941" s="2" t="s">
        <v>2246</v>
      </c>
      <c r="B941" s="4" t="s">
        <v>347</v>
      </c>
      <c r="C941" s="2" t="str">
        <f t="shared" si="28"/>
        <v>Apr</v>
      </c>
      <c r="D941" s="2">
        <f t="shared" si="29"/>
        <v>2025</v>
      </c>
      <c r="E941" s="2" t="s">
        <v>2247</v>
      </c>
      <c r="F941" s="2" t="s">
        <v>97</v>
      </c>
      <c r="G941" s="2" t="s">
        <v>13</v>
      </c>
      <c r="H941" s="2" t="s">
        <v>14</v>
      </c>
      <c r="I941" s="2">
        <v>42887.54</v>
      </c>
      <c r="J941" s="2">
        <v>4</v>
      </c>
      <c r="K941" s="2">
        <v>11377.54</v>
      </c>
      <c r="L941" s="2"/>
    </row>
    <row r="942" spans="1:12" x14ac:dyDescent="0.25">
      <c r="A942" s="2" t="s">
        <v>2248</v>
      </c>
      <c r="B942" s="4" t="s">
        <v>381</v>
      </c>
      <c r="C942" s="2" t="str">
        <f t="shared" si="28"/>
        <v>Dec</v>
      </c>
      <c r="D942" s="2">
        <f t="shared" si="29"/>
        <v>2025</v>
      </c>
      <c r="E942" s="2" t="s">
        <v>2249</v>
      </c>
      <c r="F942" s="2" t="s">
        <v>18</v>
      </c>
      <c r="G942" s="2" t="s">
        <v>25</v>
      </c>
      <c r="H942" s="2" t="s">
        <v>26</v>
      </c>
      <c r="I942" s="2">
        <v>13393.09</v>
      </c>
      <c r="J942" s="2">
        <v>4</v>
      </c>
      <c r="K942" s="2">
        <v>1281.4000000000001</v>
      </c>
      <c r="L942" s="2"/>
    </row>
    <row r="943" spans="1:12" x14ac:dyDescent="0.25">
      <c r="A943" s="2" t="s">
        <v>2250</v>
      </c>
      <c r="B943" s="4" t="s">
        <v>132</v>
      </c>
      <c r="C943" s="2" t="str">
        <f t="shared" si="28"/>
        <v>Nov</v>
      </c>
      <c r="D943" s="2">
        <f t="shared" si="29"/>
        <v>2025</v>
      </c>
      <c r="E943" s="2" t="s">
        <v>2251</v>
      </c>
      <c r="F943" s="2" t="s">
        <v>38</v>
      </c>
      <c r="G943" s="2" t="s">
        <v>13</v>
      </c>
      <c r="H943" s="2" t="s">
        <v>14</v>
      </c>
      <c r="I943" s="2">
        <v>39890.86</v>
      </c>
      <c r="J943" s="2">
        <v>1</v>
      </c>
      <c r="K943" s="2">
        <v>10290.35</v>
      </c>
      <c r="L943" s="2"/>
    </row>
    <row r="944" spans="1:12" x14ac:dyDescent="0.25">
      <c r="A944" s="2" t="s">
        <v>2252</v>
      </c>
      <c r="B944" s="4" t="s">
        <v>921</v>
      </c>
      <c r="C944" s="2" t="str">
        <f t="shared" si="28"/>
        <v>Sep</v>
      </c>
      <c r="D944" s="2">
        <f t="shared" si="29"/>
        <v>2025</v>
      </c>
      <c r="E944" s="2" t="s">
        <v>2253</v>
      </c>
      <c r="F944" s="2" t="s">
        <v>42</v>
      </c>
      <c r="G944" s="2" t="s">
        <v>19</v>
      </c>
      <c r="H944" s="2" t="s">
        <v>59</v>
      </c>
      <c r="I944" s="2">
        <v>29789.07</v>
      </c>
      <c r="J944" s="2">
        <v>7</v>
      </c>
      <c r="K944" s="2">
        <v>5247.25</v>
      </c>
      <c r="L944" s="2"/>
    </row>
    <row r="945" spans="1:12" x14ac:dyDescent="0.25">
      <c r="A945" s="2" t="s">
        <v>2254</v>
      </c>
      <c r="B945" s="4" t="s">
        <v>109</v>
      </c>
      <c r="C945" s="2" t="str">
        <f t="shared" si="28"/>
        <v>Aug</v>
      </c>
      <c r="D945" s="2">
        <f t="shared" si="29"/>
        <v>2025</v>
      </c>
      <c r="E945" s="2" t="s">
        <v>2255</v>
      </c>
      <c r="F945" s="2" t="s">
        <v>18</v>
      </c>
      <c r="G945" s="2" t="s">
        <v>25</v>
      </c>
      <c r="H945" s="2" t="s">
        <v>154</v>
      </c>
      <c r="I945" s="2">
        <v>15953.45</v>
      </c>
      <c r="J945" s="2">
        <v>5</v>
      </c>
      <c r="K945" s="2">
        <v>3503.58</v>
      </c>
      <c r="L945" s="2"/>
    </row>
    <row r="946" spans="1:12" x14ac:dyDescent="0.25">
      <c r="A946" s="2" t="s">
        <v>2256</v>
      </c>
      <c r="B946" s="4" t="s">
        <v>79</v>
      </c>
      <c r="C946" s="2" t="str">
        <f t="shared" si="28"/>
        <v>Apr</v>
      </c>
      <c r="D946" s="2">
        <f t="shared" si="29"/>
        <v>2025</v>
      </c>
      <c r="E946" s="2" t="s">
        <v>2257</v>
      </c>
      <c r="F946" s="2" t="s">
        <v>97</v>
      </c>
      <c r="G946" s="2" t="s">
        <v>54</v>
      </c>
      <c r="H946" s="2" t="s">
        <v>190</v>
      </c>
      <c r="I946" s="2">
        <v>839.98</v>
      </c>
      <c r="J946" s="2">
        <v>2</v>
      </c>
      <c r="K946" s="2">
        <v>58.27</v>
      </c>
      <c r="L946" s="2"/>
    </row>
    <row r="947" spans="1:12" x14ac:dyDescent="0.25">
      <c r="A947" s="2" t="s">
        <v>2258</v>
      </c>
      <c r="B947" s="4" t="s">
        <v>1328</v>
      </c>
      <c r="C947" s="2" t="str">
        <f t="shared" si="28"/>
        <v>Feb</v>
      </c>
      <c r="D947" s="2">
        <f t="shared" si="29"/>
        <v>2025</v>
      </c>
      <c r="E947" s="2" t="s">
        <v>2259</v>
      </c>
      <c r="F947" s="2" t="s">
        <v>97</v>
      </c>
      <c r="G947" s="2" t="s">
        <v>25</v>
      </c>
      <c r="H947" s="2" t="s">
        <v>365</v>
      </c>
      <c r="I947" s="2">
        <v>23178.63</v>
      </c>
      <c r="J947" s="2">
        <v>5</v>
      </c>
      <c r="K947" s="2">
        <v>3283.43</v>
      </c>
      <c r="L947" s="2"/>
    </row>
    <row r="948" spans="1:12" x14ac:dyDescent="0.25">
      <c r="A948" s="2" t="s">
        <v>2260</v>
      </c>
      <c r="B948" s="4" t="s">
        <v>164</v>
      </c>
      <c r="C948" s="2" t="str">
        <f t="shared" si="28"/>
        <v>Jun</v>
      </c>
      <c r="D948" s="2">
        <f t="shared" si="29"/>
        <v>2025</v>
      </c>
      <c r="E948" s="2" t="s">
        <v>2261</v>
      </c>
      <c r="F948" s="2" t="s">
        <v>12</v>
      </c>
      <c r="G948" s="2" t="s">
        <v>25</v>
      </c>
      <c r="H948" s="2" t="s">
        <v>169</v>
      </c>
      <c r="I948" s="2">
        <v>43299.82</v>
      </c>
      <c r="J948" s="2">
        <v>7</v>
      </c>
      <c r="K948" s="2">
        <v>3543.33</v>
      </c>
      <c r="L948" s="2"/>
    </row>
    <row r="949" spans="1:12" x14ac:dyDescent="0.25">
      <c r="A949" s="2" t="s">
        <v>2262</v>
      </c>
      <c r="B949" s="4" t="s">
        <v>1259</v>
      </c>
      <c r="C949" s="2" t="str">
        <f t="shared" si="28"/>
        <v>Apr</v>
      </c>
      <c r="D949" s="2">
        <f t="shared" si="29"/>
        <v>2025</v>
      </c>
      <c r="E949" s="2" t="s">
        <v>2263</v>
      </c>
      <c r="F949" s="2" t="s">
        <v>24</v>
      </c>
      <c r="G949" s="2" t="s">
        <v>25</v>
      </c>
      <c r="H949" s="2" t="s">
        <v>169</v>
      </c>
      <c r="I949" s="2">
        <v>12155.55</v>
      </c>
      <c r="J949" s="2">
        <v>9</v>
      </c>
      <c r="K949" s="2">
        <v>792</v>
      </c>
      <c r="L949" s="2"/>
    </row>
    <row r="950" spans="1:12" x14ac:dyDescent="0.25">
      <c r="A950" s="2" t="s">
        <v>2264</v>
      </c>
      <c r="B950" s="4" t="s">
        <v>422</v>
      </c>
      <c r="C950" s="2" t="str">
        <f t="shared" si="28"/>
        <v>Dec</v>
      </c>
      <c r="D950" s="2">
        <f t="shared" si="29"/>
        <v>2025</v>
      </c>
      <c r="E950" s="2" t="s">
        <v>2265</v>
      </c>
      <c r="F950" s="2" t="s">
        <v>38</v>
      </c>
      <c r="G950" s="2" t="s">
        <v>13</v>
      </c>
      <c r="H950" s="2" t="s">
        <v>73</v>
      </c>
      <c r="I950" s="2">
        <v>19630.55</v>
      </c>
      <c r="J950" s="2">
        <v>10</v>
      </c>
      <c r="K950" s="2">
        <v>255.5</v>
      </c>
      <c r="L950" s="2"/>
    </row>
    <row r="951" spans="1:12" x14ac:dyDescent="0.25">
      <c r="A951" s="2" t="s">
        <v>2266</v>
      </c>
      <c r="B951" s="4" t="s">
        <v>22</v>
      </c>
      <c r="C951" s="2" t="str">
        <f t="shared" si="28"/>
        <v>Mar</v>
      </c>
      <c r="D951" s="2">
        <f t="shared" si="29"/>
        <v>2025</v>
      </c>
      <c r="E951" s="2" t="s">
        <v>2267</v>
      </c>
      <c r="F951" s="2" t="s">
        <v>42</v>
      </c>
      <c r="G951" s="2" t="s">
        <v>25</v>
      </c>
      <c r="H951" s="2" t="s">
        <v>47</v>
      </c>
      <c r="I951" s="2">
        <v>22402.04</v>
      </c>
      <c r="J951" s="2">
        <v>4</v>
      </c>
      <c r="K951" s="2">
        <v>-138.01</v>
      </c>
      <c r="L951" s="2"/>
    </row>
    <row r="952" spans="1:12" x14ac:dyDescent="0.25">
      <c r="A952" s="2" t="s">
        <v>2268</v>
      </c>
      <c r="B952" s="4" t="s">
        <v>253</v>
      </c>
      <c r="C952" s="2" t="str">
        <f t="shared" si="28"/>
        <v>Jul</v>
      </c>
      <c r="D952" s="2">
        <f t="shared" si="29"/>
        <v>2025</v>
      </c>
      <c r="E952" s="2" t="s">
        <v>2269</v>
      </c>
      <c r="F952" s="2" t="s">
        <v>18</v>
      </c>
      <c r="G952" s="2" t="s">
        <v>54</v>
      </c>
      <c r="H952" s="2" t="s">
        <v>84</v>
      </c>
      <c r="I952" s="2">
        <v>8871.43</v>
      </c>
      <c r="J952" s="2">
        <v>5</v>
      </c>
      <c r="K952" s="2">
        <v>2495.9499999999998</v>
      </c>
      <c r="L952" s="2"/>
    </row>
    <row r="953" spans="1:12" x14ac:dyDescent="0.25">
      <c r="A953" s="2" t="s">
        <v>2270</v>
      </c>
      <c r="B953" s="4" t="s">
        <v>109</v>
      </c>
      <c r="C953" s="2" t="str">
        <f t="shared" si="28"/>
        <v>Aug</v>
      </c>
      <c r="D953" s="2">
        <f t="shared" si="29"/>
        <v>2025</v>
      </c>
      <c r="E953" s="2" t="s">
        <v>2271</v>
      </c>
      <c r="F953" s="2" t="s">
        <v>18</v>
      </c>
      <c r="G953" s="2" t="s">
        <v>13</v>
      </c>
      <c r="H953" s="2" t="s">
        <v>77</v>
      </c>
      <c r="I953" s="2">
        <v>37119.31</v>
      </c>
      <c r="J953" s="2">
        <v>8</v>
      </c>
      <c r="K953" s="2">
        <v>8391.42</v>
      </c>
      <c r="L953" s="2"/>
    </row>
    <row r="954" spans="1:12" x14ac:dyDescent="0.25">
      <c r="A954" s="2" t="s">
        <v>2272</v>
      </c>
      <c r="B954" s="4" t="s">
        <v>566</v>
      </c>
      <c r="C954" s="2" t="str">
        <f t="shared" si="28"/>
        <v>Dec</v>
      </c>
      <c r="D954" s="2">
        <f t="shared" si="29"/>
        <v>2025</v>
      </c>
      <c r="E954" s="2" t="s">
        <v>2273</v>
      </c>
      <c r="F954" s="2" t="s">
        <v>38</v>
      </c>
      <c r="G954" s="2" t="s">
        <v>54</v>
      </c>
      <c r="H954" s="2" t="s">
        <v>111</v>
      </c>
      <c r="I954" s="2">
        <v>25760.32</v>
      </c>
      <c r="J954" s="2">
        <v>2</v>
      </c>
      <c r="K954" s="2">
        <v>414.83</v>
      </c>
      <c r="L954" s="2"/>
    </row>
    <row r="955" spans="1:12" x14ac:dyDescent="0.25">
      <c r="A955" s="2" t="s">
        <v>2274</v>
      </c>
      <c r="B955" s="4" t="s">
        <v>89</v>
      </c>
      <c r="C955" s="2" t="str">
        <f t="shared" si="28"/>
        <v>Nov</v>
      </c>
      <c r="D955" s="2">
        <f t="shared" si="29"/>
        <v>2025</v>
      </c>
      <c r="E955" s="2" t="s">
        <v>2275</v>
      </c>
      <c r="F955" s="2" t="s">
        <v>34</v>
      </c>
      <c r="G955" s="2" t="s">
        <v>54</v>
      </c>
      <c r="H955" s="2" t="s">
        <v>138</v>
      </c>
      <c r="I955" s="2">
        <v>6361.06</v>
      </c>
      <c r="J955" s="2">
        <v>4</v>
      </c>
      <c r="K955" s="2">
        <v>714.26</v>
      </c>
      <c r="L955" s="2"/>
    </row>
    <row r="956" spans="1:12" x14ac:dyDescent="0.25">
      <c r="A956" s="2" t="s">
        <v>2276</v>
      </c>
      <c r="B956" s="4" t="s">
        <v>697</v>
      </c>
      <c r="C956" s="2" t="str">
        <f t="shared" si="28"/>
        <v>Sep</v>
      </c>
      <c r="D956" s="2">
        <f t="shared" si="29"/>
        <v>2025</v>
      </c>
      <c r="E956" s="2" t="s">
        <v>2277</v>
      </c>
      <c r="F956" s="2" t="s">
        <v>97</v>
      </c>
      <c r="G956" s="2" t="s">
        <v>19</v>
      </c>
      <c r="H956" s="2" t="s">
        <v>43</v>
      </c>
      <c r="I956" s="2">
        <v>28850.53</v>
      </c>
      <c r="J956" s="2">
        <v>4</v>
      </c>
      <c r="K956" s="2">
        <v>-698.23</v>
      </c>
      <c r="L956" s="2"/>
    </row>
    <row r="957" spans="1:12" x14ac:dyDescent="0.25">
      <c r="A957" s="2" t="s">
        <v>2278</v>
      </c>
      <c r="B957" s="4" t="s">
        <v>683</v>
      </c>
      <c r="C957" s="2" t="str">
        <f t="shared" si="28"/>
        <v>Dec</v>
      </c>
      <c r="D957" s="2">
        <f t="shared" si="29"/>
        <v>2025</v>
      </c>
      <c r="E957" s="2" t="s">
        <v>2279</v>
      </c>
      <c r="F957" s="2" t="s">
        <v>38</v>
      </c>
      <c r="G957" s="2" t="s">
        <v>19</v>
      </c>
      <c r="H957" s="2" t="s">
        <v>59</v>
      </c>
      <c r="I957" s="2">
        <v>20772.02</v>
      </c>
      <c r="J957" s="2">
        <v>9</v>
      </c>
      <c r="K957" s="2">
        <v>5704.43</v>
      </c>
      <c r="L957" s="2"/>
    </row>
    <row r="958" spans="1:12" x14ac:dyDescent="0.25">
      <c r="A958" s="2" t="s">
        <v>2280</v>
      </c>
      <c r="B958" s="4" t="s">
        <v>2281</v>
      </c>
      <c r="C958" s="2" t="str">
        <f t="shared" si="28"/>
        <v>Jul</v>
      </c>
      <c r="D958" s="2">
        <f t="shared" si="29"/>
        <v>2025</v>
      </c>
      <c r="E958" s="2" t="s">
        <v>2282</v>
      </c>
      <c r="F958" s="2" t="s">
        <v>97</v>
      </c>
      <c r="G958" s="2" t="s">
        <v>25</v>
      </c>
      <c r="H958" s="2" t="s">
        <v>26</v>
      </c>
      <c r="I958" s="2">
        <v>15812.55</v>
      </c>
      <c r="J958" s="2">
        <v>5</v>
      </c>
      <c r="K958" s="2">
        <v>2684.15</v>
      </c>
      <c r="L958" s="2"/>
    </row>
    <row r="959" spans="1:12" x14ac:dyDescent="0.25">
      <c r="A959" s="2" t="s">
        <v>2283</v>
      </c>
      <c r="B959" s="4" t="s">
        <v>2111</v>
      </c>
      <c r="C959" s="2" t="str">
        <f t="shared" si="28"/>
        <v>Jul</v>
      </c>
      <c r="D959" s="2">
        <f t="shared" si="29"/>
        <v>2025</v>
      </c>
      <c r="E959" s="2" t="s">
        <v>2284</v>
      </c>
      <c r="F959" s="2" t="s">
        <v>38</v>
      </c>
      <c r="G959" s="2" t="s">
        <v>25</v>
      </c>
      <c r="H959" s="2" t="s">
        <v>26</v>
      </c>
      <c r="I959" s="2">
        <v>13270.37</v>
      </c>
      <c r="J959" s="2">
        <v>10</v>
      </c>
      <c r="K959" s="2">
        <v>3389.91</v>
      </c>
      <c r="L959" s="2"/>
    </row>
    <row r="960" spans="1:12" x14ac:dyDescent="0.25">
      <c r="A960" s="2" t="s">
        <v>2285</v>
      </c>
      <c r="B960" s="4" t="s">
        <v>907</v>
      </c>
      <c r="C960" s="2" t="str">
        <f t="shared" si="28"/>
        <v>Jul</v>
      </c>
      <c r="D960" s="2">
        <f t="shared" si="29"/>
        <v>2025</v>
      </c>
      <c r="E960" s="2" t="s">
        <v>2286</v>
      </c>
      <c r="F960" s="2" t="s">
        <v>97</v>
      </c>
      <c r="G960" s="2" t="s">
        <v>13</v>
      </c>
      <c r="H960" s="2" t="s">
        <v>121</v>
      </c>
      <c r="I960" s="2">
        <v>47629.96</v>
      </c>
      <c r="J960" s="2">
        <v>2</v>
      </c>
      <c r="K960" s="2">
        <v>11132.29</v>
      </c>
      <c r="L960" s="2"/>
    </row>
    <row r="961" spans="1:12" x14ac:dyDescent="0.25">
      <c r="A961" s="2" t="s">
        <v>2287</v>
      </c>
      <c r="B961" s="4" t="s">
        <v>82</v>
      </c>
      <c r="C961" s="2" t="str">
        <f t="shared" si="28"/>
        <v>Jun</v>
      </c>
      <c r="D961" s="2">
        <f t="shared" si="29"/>
        <v>2025</v>
      </c>
      <c r="E961" s="2" t="s">
        <v>2288</v>
      </c>
      <c r="F961" s="2" t="s">
        <v>24</v>
      </c>
      <c r="G961" s="2" t="s">
        <v>25</v>
      </c>
      <c r="H961" s="2" t="s">
        <v>26</v>
      </c>
      <c r="I961" s="2">
        <v>19008.18</v>
      </c>
      <c r="J961" s="2">
        <v>3</v>
      </c>
      <c r="K961" s="2">
        <v>2191.33</v>
      </c>
      <c r="L961" s="2"/>
    </row>
    <row r="962" spans="1:12" x14ac:dyDescent="0.25">
      <c r="A962" s="2" t="s">
        <v>2289</v>
      </c>
      <c r="B962" s="4" t="s">
        <v>840</v>
      </c>
      <c r="C962" s="2" t="str">
        <f t="shared" si="28"/>
        <v>Mar</v>
      </c>
      <c r="D962" s="2">
        <f t="shared" si="29"/>
        <v>2025</v>
      </c>
      <c r="E962" s="2" t="s">
        <v>2290</v>
      </c>
      <c r="F962" s="2" t="s">
        <v>38</v>
      </c>
      <c r="G962" s="2" t="s">
        <v>19</v>
      </c>
      <c r="H962" s="2" t="s">
        <v>101</v>
      </c>
      <c r="I962" s="2">
        <v>22119.11</v>
      </c>
      <c r="J962" s="2">
        <v>3</v>
      </c>
      <c r="K962" s="2">
        <v>5941.91</v>
      </c>
      <c r="L962" s="2"/>
    </row>
    <row r="963" spans="1:12" x14ac:dyDescent="0.25">
      <c r="A963" s="2" t="s">
        <v>2291</v>
      </c>
      <c r="B963" s="4" t="s">
        <v>281</v>
      </c>
      <c r="C963" s="2" t="str">
        <f t="shared" ref="C963:C1001" si="30">TEXT(B963, "mmm")</f>
        <v>Apr</v>
      </c>
      <c r="D963" s="2">
        <f t="shared" ref="D963:D1001" si="31">YEAR(B963)</f>
        <v>2025</v>
      </c>
      <c r="E963" s="2" t="s">
        <v>2292</v>
      </c>
      <c r="F963" s="2" t="s">
        <v>18</v>
      </c>
      <c r="G963" s="2" t="s">
        <v>54</v>
      </c>
      <c r="H963" s="2" t="s">
        <v>111</v>
      </c>
      <c r="I963" s="2">
        <v>46756.99</v>
      </c>
      <c r="J963" s="2">
        <v>8</v>
      </c>
      <c r="K963" s="2">
        <v>13871.11</v>
      </c>
      <c r="L963" s="2"/>
    </row>
    <row r="964" spans="1:12" x14ac:dyDescent="0.25">
      <c r="A964" s="2" t="s">
        <v>2293</v>
      </c>
      <c r="B964" s="4" t="s">
        <v>1167</v>
      </c>
      <c r="C964" s="2" t="str">
        <f t="shared" si="30"/>
        <v>Aug</v>
      </c>
      <c r="D964" s="2">
        <f t="shared" si="31"/>
        <v>2025</v>
      </c>
      <c r="E964" s="2" t="s">
        <v>2294</v>
      </c>
      <c r="F964" s="2" t="s">
        <v>97</v>
      </c>
      <c r="G964" s="2" t="s">
        <v>19</v>
      </c>
      <c r="H964" s="2" t="s">
        <v>63</v>
      </c>
      <c r="I964" s="2">
        <v>7323.6</v>
      </c>
      <c r="J964" s="2">
        <v>9</v>
      </c>
      <c r="K964" s="2">
        <v>671.08</v>
      </c>
      <c r="L964" s="2"/>
    </row>
    <row r="965" spans="1:12" x14ac:dyDescent="0.25">
      <c r="A965" s="2" t="s">
        <v>2295</v>
      </c>
      <c r="B965" s="4" t="s">
        <v>223</v>
      </c>
      <c r="C965" s="2" t="str">
        <f t="shared" si="30"/>
        <v>Jan</v>
      </c>
      <c r="D965" s="2">
        <f t="shared" si="31"/>
        <v>2025</v>
      </c>
      <c r="E965" s="2" t="s">
        <v>2296</v>
      </c>
      <c r="F965" s="2" t="s">
        <v>38</v>
      </c>
      <c r="G965" s="2" t="s">
        <v>25</v>
      </c>
      <c r="H965" s="2" t="s">
        <v>169</v>
      </c>
      <c r="I965" s="2">
        <v>18346.740000000002</v>
      </c>
      <c r="J965" s="2">
        <v>5</v>
      </c>
      <c r="K965" s="2">
        <v>1772.2</v>
      </c>
      <c r="L965" s="2"/>
    </row>
    <row r="966" spans="1:12" x14ac:dyDescent="0.25">
      <c r="A966" s="2" t="s">
        <v>2297</v>
      </c>
      <c r="B966" s="4" t="s">
        <v>89</v>
      </c>
      <c r="C966" s="2" t="str">
        <f t="shared" si="30"/>
        <v>Nov</v>
      </c>
      <c r="D966" s="2">
        <f t="shared" si="31"/>
        <v>2025</v>
      </c>
      <c r="E966" s="2" t="s">
        <v>2298</v>
      </c>
      <c r="F966" s="2" t="s">
        <v>24</v>
      </c>
      <c r="G966" s="2" t="s">
        <v>19</v>
      </c>
      <c r="H966" s="2" t="s">
        <v>59</v>
      </c>
      <c r="I966" s="2">
        <v>33316.11</v>
      </c>
      <c r="J966" s="2">
        <v>9</v>
      </c>
      <c r="K966" s="2">
        <v>5283.16</v>
      </c>
      <c r="L966" s="2"/>
    </row>
    <row r="967" spans="1:12" x14ac:dyDescent="0.25">
      <c r="A967" s="2" t="s">
        <v>2299</v>
      </c>
      <c r="B967" s="4" t="s">
        <v>431</v>
      </c>
      <c r="C967" s="2" t="str">
        <f t="shared" si="30"/>
        <v>Feb</v>
      </c>
      <c r="D967" s="2">
        <f t="shared" si="31"/>
        <v>2025</v>
      </c>
      <c r="E967" s="2" t="s">
        <v>2300</v>
      </c>
      <c r="F967" s="2" t="s">
        <v>12</v>
      </c>
      <c r="G967" s="2" t="s">
        <v>54</v>
      </c>
      <c r="H967" s="2" t="s">
        <v>111</v>
      </c>
      <c r="I967" s="2">
        <v>31212.63</v>
      </c>
      <c r="J967" s="2">
        <v>4</v>
      </c>
      <c r="K967" s="2">
        <v>7703.92</v>
      </c>
      <c r="L967" s="2"/>
    </row>
    <row r="968" spans="1:12" x14ac:dyDescent="0.25">
      <c r="A968" s="2" t="s">
        <v>2301</v>
      </c>
      <c r="B968" s="4" t="s">
        <v>443</v>
      </c>
      <c r="C968" s="2" t="str">
        <f t="shared" si="30"/>
        <v>Jan</v>
      </c>
      <c r="D968" s="2">
        <f t="shared" si="31"/>
        <v>2025</v>
      </c>
      <c r="E968" s="2" t="s">
        <v>2302</v>
      </c>
      <c r="F968" s="2" t="s">
        <v>24</v>
      </c>
      <c r="G968" s="2" t="s">
        <v>13</v>
      </c>
      <c r="H968" s="2" t="s">
        <v>14</v>
      </c>
      <c r="I968" s="2">
        <v>17926.32</v>
      </c>
      <c r="J968" s="2">
        <v>1</v>
      </c>
      <c r="K968" s="2">
        <v>3118.89</v>
      </c>
      <c r="L968" s="2"/>
    </row>
    <row r="969" spans="1:12" x14ac:dyDescent="0.25">
      <c r="A969" s="2" t="s">
        <v>2303</v>
      </c>
      <c r="B969" s="4" t="s">
        <v>2111</v>
      </c>
      <c r="C969" s="2" t="str">
        <f t="shared" si="30"/>
        <v>Jul</v>
      </c>
      <c r="D969" s="2">
        <f t="shared" si="31"/>
        <v>2025</v>
      </c>
      <c r="E969" s="2" t="s">
        <v>2304</v>
      </c>
      <c r="F969" s="2" t="s">
        <v>42</v>
      </c>
      <c r="G969" s="2" t="s">
        <v>13</v>
      </c>
      <c r="H969" s="2" t="s">
        <v>73</v>
      </c>
      <c r="I969" s="2">
        <v>38516.47</v>
      </c>
      <c r="J969" s="2">
        <v>2</v>
      </c>
      <c r="K969" s="2">
        <v>4330.54</v>
      </c>
      <c r="L969" s="2"/>
    </row>
    <row r="970" spans="1:12" x14ac:dyDescent="0.25">
      <c r="A970" s="2" t="s">
        <v>2305</v>
      </c>
      <c r="B970" s="4" t="s">
        <v>2306</v>
      </c>
      <c r="C970" s="2" t="str">
        <f t="shared" si="30"/>
        <v>Jun</v>
      </c>
      <c r="D970" s="2">
        <f t="shared" si="31"/>
        <v>2025</v>
      </c>
      <c r="E970" s="2" t="s">
        <v>2307</v>
      </c>
      <c r="F970" s="2" t="s">
        <v>24</v>
      </c>
      <c r="G970" s="2" t="s">
        <v>54</v>
      </c>
      <c r="H970" s="2" t="s">
        <v>138</v>
      </c>
      <c r="I970" s="2">
        <v>22506.66</v>
      </c>
      <c r="J970" s="2">
        <v>10</v>
      </c>
      <c r="K970" s="2">
        <v>-298.79000000000002</v>
      </c>
      <c r="L970" s="2"/>
    </row>
    <row r="971" spans="1:12" x14ac:dyDescent="0.25">
      <c r="A971" s="2" t="s">
        <v>2308</v>
      </c>
      <c r="B971" s="4" t="s">
        <v>1310</v>
      </c>
      <c r="C971" s="2" t="str">
        <f t="shared" si="30"/>
        <v>Mar</v>
      </c>
      <c r="D971" s="2">
        <f t="shared" si="31"/>
        <v>2025</v>
      </c>
      <c r="E971" s="2" t="s">
        <v>2309</v>
      </c>
      <c r="F971" s="2" t="s">
        <v>12</v>
      </c>
      <c r="G971" s="2" t="s">
        <v>19</v>
      </c>
      <c r="H971" s="2" t="s">
        <v>59</v>
      </c>
      <c r="I971" s="2">
        <v>37905.589999999997</v>
      </c>
      <c r="J971" s="2">
        <v>7</v>
      </c>
      <c r="K971" s="2">
        <v>9222.2999999999993</v>
      </c>
      <c r="L971" s="2"/>
    </row>
    <row r="972" spans="1:12" x14ac:dyDescent="0.25">
      <c r="A972" s="2" t="s">
        <v>2310</v>
      </c>
      <c r="B972" s="4" t="s">
        <v>79</v>
      </c>
      <c r="C972" s="2" t="str">
        <f t="shared" si="30"/>
        <v>Apr</v>
      </c>
      <c r="D972" s="2">
        <f t="shared" si="31"/>
        <v>2025</v>
      </c>
      <c r="E972" s="2" t="s">
        <v>2311</v>
      </c>
      <c r="F972" s="2" t="s">
        <v>12</v>
      </c>
      <c r="G972" s="2" t="s">
        <v>25</v>
      </c>
      <c r="H972" s="2" t="s">
        <v>26</v>
      </c>
      <c r="I972" s="2">
        <v>37037.75</v>
      </c>
      <c r="J972" s="2">
        <v>5</v>
      </c>
      <c r="K972" s="2">
        <v>9660.17</v>
      </c>
      <c r="L972" s="2"/>
    </row>
    <row r="973" spans="1:12" x14ac:dyDescent="0.25">
      <c r="A973" s="2" t="s">
        <v>2312</v>
      </c>
      <c r="B973" s="4" t="s">
        <v>2032</v>
      </c>
      <c r="C973" s="2" t="str">
        <f t="shared" si="30"/>
        <v>Mar</v>
      </c>
      <c r="D973" s="2">
        <f t="shared" si="31"/>
        <v>2025</v>
      </c>
      <c r="E973" s="2" t="s">
        <v>2313</v>
      </c>
      <c r="F973" s="2" t="s">
        <v>34</v>
      </c>
      <c r="G973" s="2" t="s">
        <v>19</v>
      </c>
      <c r="H973" s="2" t="s">
        <v>101</v>
      </c>
      <c r="I973" s="2">
        <v>30141.34</v>
      </c>
      <c r="J973" s="2">
        <v>10</v>
      </c>
      <c r="K973" s="2">
        <v>8299.48</v>
      </c>
      <c r="L973" s="2"/>
    </row>
    <row r="974" spans="1:12" x14ac:dyDescent="0.25">
      <c r="A974" s="2" t="s">
        <v>2314</v>
      </c>
      <c r="B974" s="4" t="s">
        <v>626</v>
      </c>
      <c r="C974" s="2" t="str">
        <f t="shared" si="30"/>
        <v>Jul</v>
      </c>
      <c r="D974" s="2">
        <f t="shared" si="31"/>
        <v>2025</v>
      </c>
      <c r="E974" s="2" t="s">
        <v>2315</v>
      </c>
      <c r="F974" s="2" t="s">
        <v>24</v>
      </c>
      <c r="G974" s="2" t="s">
        <v>19</v>
      </c>
      <c r="H974" s="2" t="s">
        <v>20</v>
      </c>
      <c r="I974" s="2">
        <v>4536.3599999999997</v>
      </c>
      <c r="J974" s="2">
        <v>8</v>
      </c>
      <c r="K974" s="2">
        <v>2.79</v>
      </c>
      <c r="L974" s="2"/>
    </row>
    <row r="975" spans="1:12" x14ac:dyDescent="0.25">
      <c r="A975" s="2" t="s">
        <v>2316</v>
      </c>
      <c r="B975" s="4" t="s">
        <v>22</v>
      </c>
      <c r="C975" s="2" t="str">
        <f t="shared" si="30"/>
        <v>Mar</v>
      </c>
      <c r="D975" s="2">
        <f t="shared" si="31"/>
        <v>2025</v>
      </c>
      <c r="E975" s="2" t="s">
        <v>2317</v>
      </c>
      <c r="F975" s="2" t="s">
        <v>34</v>
      </c>
      <c r="G975" s="2" t="s">
        <v>19</v>
      </c>
      <c r="H975" s="2" t="s">
        <v>101</v>
      </c>
      <c r="I975" s="2">
        <v>5942.87</v>
      </c>
      <c r="J975" s="2">
        <v>3</v>
      </c>
      <c r="K975" s="2">
        <v>1225.6600000000001</v>
      </c>
      <c r="L975" s="2"/>
    </row>
    <row r="976" spans="1:12" x14ac:dyDescent="0.25">
      <c r="A976" s="2" t="s">
        <v>2318</v>
      </c>
      <c r="B976" s="4" t="s">
        <v>294</v>
      </c>
      <c r="C976" s="2" t="str">
        <f t="shared" si="30"/>
        <v>Feb</v>
      </c>
      <c r="D976" s="2">
        <f t="shared" si="31"/>
        <v>2025</v>
      </c>
      <c r="E976" s="2" t="s">
        <v>2319</v>
      </c>
      <c r="F976" s="2" t="s">
        <v>97</v>
      </c>
      <c r="G976" s="2" t="s">
        <v>54</v>
      </c>
      <c r="H976" s="2" t="s">
        <v>55</v>
      </c>
      <c r="I976" s="2">
        <v>3121.05</v>
      </c>
      <c r="J976" s="2">
        <v>5</v>
      </c>
      <c r="K976" s="2">
        <v>392.64</v>
      </c>
      <c r="L976" s="2"/>
    </row>
    <row r="977" spans="1:12" x14ac:dyDescent="0.25">
      <c r="A977" s="2" t="s">
        <v>2320</v>
      </c>
      <c r="B977" s="4" t="s">
        <v>16</v>
      </c>
      <c r="C977" s="2" t="str">
        <f t="shared" si="30"/>
        <v>Feb</v>
      </c>
      <c r="D977" s="2">
        <f t="shared" si="31"/>
        <v>2025</v>
      </c>
      <c r="E977" s="2" t="s">
        <v>2321</v>
      </c>
      <c r="F977" s="2" t="s">
        <v>38</v>
      </c>
      <c r="G977" s="2" t="s">
        <v>25</v>
      </c>
      <c r="H977" s="2" t="s">
        <v>365</v>
      </c>
      <c r="I977" s="2">
        <v>33312.199999999997</v>
      </c>
      <c r="J977" s="2">
        <v>4</v>
      </c>
      <c r="K977" s="2">
        <v>3084</v>
      </c>
      <c r="L977" s="2"/>
    </row>
    <row r="978" spans="1:12" x14ac:dyDescent="0.25">
      <c r="A978" s="2" t="s">
        <v>2322</v>
      </c>
      <c r="B978" s="4" t="s">
        <v>437</v>
      </c>
      <c r="C978" s="2" t="str">
        <f t="shared" si="30"/>
        <v>May</v>
      </c>
      <c r="D978" s="2">
        <f t="shared" si="31"/>
        <v>2025</v>
      </c>
      <c r="E978" s="2" t="s">
        <v>2323</v>
      </c>
      <c r="F978" s="2" t="s">
        <v>42</v>
      </c>
      <c r="G978" s="2" t="s">
        <v>25</v>
      </c>
      <c r="H978" s="2" t="s">
        <v>47</v>
      </c>
      <c r="I978" s="2">
        <v>35732.9</v>
      </c>
      <c r="J978" s="2">
        <v>6</v>
      </c>
      <c r="K978" s="2">
        <v>-1396.34</v>
      </c>
      <c r="L978" s="2"/>
    </row>
    <row r="979" spans="1:12" x14ac:dyDescent="0.25">
      <c r="A979" s="2" t="s">
        <v>2324</v>
      </c>
      <c r="B979" s="4" t="s">
        <v>2135</v>
      </c>
      <c r="C979" s="2" t="str">
        <f t="shared" si="30"/>
        <v>Feb</v>
      </c>
      <c r="D979" s="2">
        <f t="shared" si="31"/>
        <v>2025</v>
      </c>
      <c r="E979" s="2" t="s">
        <v>2325</v>
      </c>
      <c r="F979" s="2" t="s">
        <v>18</v>
      </c>
      <c r="G979" s="2" t="s">
        <v>54</v>
      </c>
      <c r="H979" s="2" t="s">
        <v>84</v>
      </c>
      <c r="I979" s="2">
        <v>6408.29</v>
      </c>
      <c r="J979" s="2">
        <v>10</v>
      </c>
      <c r="K979" s="2">
        <v>157.71</v>
      </c>
      <c r="L979" s="2"/>
    </row>
    <row r="980" spans="1:12" x14ac:dyDescent="0.25">
      <c r="A980" s="2" t="s">
        <v>2326</v>
      </c>
      <c r="B980" s="4" t="s">
        <v>71</v>
      </c>
      <c r="C980" s="2" t="str">
        <f t="shared" si="30"/>
        <v>Jan</v>
      </c>
      <c r="D980" s="2">
        <f t="shared" si="31"/>
        <v>2025</v>
      </c>
      <c r="E980" s="2" t="s">
        <v>2327</v>
      </c>
      <c r="F980" s="2" t="s">
        <v>42</v>
      </c>
      <c r="G980" s="2" t="s">
        <v>13</v>
      </c>
      <c r="H980" s="2" t="s">
        <v>77</v>
      </c>
      <c r="I980" s="2">
        <v>19143.990000000002</v>
      </c>
      <c r="J980" s="2">
        <v>2</v>
      </c>
      <c r="K980" s="2">
        <v>1917.22</v>
      </c>
      <c r="L980" s="2"/>
    </row>
    <row r="981" spans="1:12" x14ac:dyDescent="0.25">
      <c r="A981" s="2" t="s">
        <v>2328</v>
      </c>
      <c r="B981" s="4" t="s">
        <v>82</v>
      </c>
      <c r="C981" s="2" t="str">
        <f t="shared" si="30"/>
        <v>Jun</v>
      </c>
      <c r="D981" s="2">
        <f t="shared" si="31"/>
        <v>2025</v>
      </c>
      <c r="E981" s="2" t="s">
        <v>2329</v>
      </c>
      <c r="F981" s="2" t="s">
        <v>24</v>
      </c>
      <c r="G981" s="2" t="s">
        <v>54</v>
      </c>
      <c r="H981" s="2" t="s">
        <v>190</v>
      </c>
      <c r="I981" s="2">
        <v>32528.28</v>
      </c>
      <c r="J981" s="2">
        <v>3</v>
      </c>
      <c r="K981" s="2">
        <v>4972.53</v>
      </c>
      <c r="L981" s="2"/>
    </row>
    <row r="982" spans="1:12" x14ac:dyDescent="0.25">
      <c r="A982" s="2" t="s">
        <v>2330</v>
      </c>
      <c r="B982" s="4" t="s">
        <v>414</v>
      </c>
      <c r="C982" s="2" t="str">
        <f t="shared" si="30"/>
        <v>Jul</v>
      </c>
      <c r="D982" s="2">
        <f t="shared" si="31"/>
        <v>2025</v>
      </c>
      <c r="E982" s="2" t="s">
        <v>2331</v>
      </c>
      <c r="F982" s="2" t="s">
        <v>42</v>
      </c>
      <c r="G982" s="2" t="s">
        <v>54</v>
      </c>
      <c r="H982" s="2" t="s">
        <v>84</v>
      </c>
      <c r="I982" s="2">
        <v>16556.39</v>
      </c>
      <c r="J982" s="2">
        <v>8</v>
      </c>
      <c r="K982" s="2">
        <v>4282.66</v>
      </c>
      <c r="L982" s="2"/>
    </row>
    <row r="983" spans="1:12" x14ac:dyDescent="0.25">
      <c r="A983" s="2" t="s">
        <v>2332</v>
      </c>
      <c r="B983" s="4" t="s">
        <v>116</v>
      </c>
      <c r="C983" s="2" t="str">
        <f t="shared" si="30"/>
        <v>Nov</v>
      </c>
      <c r="D983" s="2">
        <f t="shared" si="31"/>
        <v>2025</v>
      </c>
      <c r="E983" s="2" t="s">
        <v>2333</v>
      </c>
      <c r="F983" s="2" t="s">
        <v>38</v>
      </c>
      <c r="G983" s="2" t="s">
        <v>25</v>
      </c>
      <c r="H983" s="2" t="s">
        <v>47</v>
      </c>
      <c r="I983" s="2">
        <v>37601.800000000003</v>
      </c>
      <c r="J983" s="2">
        <v>7</v>
      </c>
      <c r="K983" s="2">
        <v>9438.41</v>
      </c>
      <c r="L983" s="2"/>
    </row>
    <row r="984" spans="1:12" x14ac:dyDescent="0.25">
      <c r="A984" s="2" t="s">
        <v>2334</v>
      </c>
      <c r="B984" s="4" t="s">
        <v>32</v>
      </c>
      <c r="C984" s="2" t="str">
        <f t="shared" si="30"/>
        <v>May</v>
      </c>
      <c r="D984" s="2">
        <f t="shared" si="31"/>
        <v>2025</v>
      </c>
      <c r="E984" s="2" t="s">
        <v>2335</v>
      </c>
      <c r="F984" s="2" t="s">
        <v>38</v>
      </c>
      <c r="G984" s="2" t="s">
        <v>19</v>
      </c>
      <c r="H984" s="2" t="s">
        <v>101</v>
      </c>
      <c r="I984" s="2">
        <v>1580.01</v>
      </c>
      <c r="J984" s="2">
        <v>8</v>
      </c>
      <c r="K984" s="2">
        <v>171.82</v>
      </c>
      <c r="L984" s="2"/>
    </row>
    <row r="985" spans="1:12" x14ac:dyDescent="0.25">
      <c r="A985" s="2" t="s">
        <v>2336</v>
      </c>
      <c r="B985" s="4" t="s">
        <v>664</v>
      </c>
      <c r="C985" s="2" t="str">
        <f t="shared" si="30"/>
        <v>Aug</v>
      </c>
      <c r="D985" s="2">
        <f t="shared" si="31"/>
        <v>2025</v>
      </c>
      <c r="E985" s="2" t="s">
        <v>2337</v>
      </c>
      <c r="F985" s="2" t="s">
        <v>12</v>
      </c>
      <c r="G985" s="2" t="s">
        <v>19</v>
      </c>
      <c r="H985" s="2" t="s">
        <v>43</v>
      </c>
      <c r="I985" s="2">
        <v>48832.81</v>
      </c>
      <c r="J985" s="2">
        <v>4</v>
      </c>
      <c r="K985" s="2">
        <v>646.9</v>
      </c>
      <c r="L985" s="2"/>
    </row>
    <row r="986" spans="1:12" x14ac:dyDescent="0.25">
      <c r="A986" s="2" t="s">
        <v>2338</v>
      </c>
      <c r="B986" s="4" t="s">
        <v>220</v>
      </c>
      <c r="C986" s="2" t="str">
        <f t="shared" si="30"/>
        <v>Mar</v>
      </c>
      <c r="D986" s="2">
        <f t="shared" si="31"/>
        <v>2025</v>
      </c>
      <c r="E986" s="2" t="s">
        <v>2339</v>
      </c>
      <c r="F986" s="2" t="s">
        <v>34</v>
      </c>
      <c r="G986" s="2" t="s">
        <v>54</v>
      </c>
      <c r="H986" s="2" t="s">
        <v>55</v>
      </c>
      <c r="I986" s="2">
        <v>21456.639999999999</v>
      </c>
      <c r="J986" s="2">
        <v>3</v>
      </c>
      <c r="K986" s="2">
        <v>6240.75</v>
      </c>
      <c r="L986" s="2"/>
    </row>
    <row r="987" spans="1:12" x14ac:dyDescent="0.25">
      <c r="A987" s="2" t="s">
        <v>2340</v>
      </c>
      <c r="B987" s="4" t="s">
        <v>523</v>
      </c>
      <c r="C987" s="2" t="str">
        <f t="shared" si="30"/>
        <v>Jan</v>
      </c>
      <c r="D987" s="2">
        <f t="shared" si="31"/>
        <v>2025</v>
      </c>
      <c r="E987" s="2" t="s">
        <v>2341</v>
      </c>
      <c r="F987" s="2" t="s">
        <v>18</v>
      </c>
      <c r="G987" s="2" t="s">
        <v>13</v>
      </c>
      <c r="H987" s="2" t="s">
        <v>14</v>
      </c>
      <c r="I987" s="2">
        <v>39424.910000000003</v>
      </c>
      <c r="J987" s="2">
        <v>6</v>
      </c>
      <c r="K987" s="2">
        <v>5016.62</v>
      </c>
      <c r="L987" s="2"/>
    </row>
    <row r="988" spans="1:12" x14ac:dyDescent="0.25">
      <c r="A988" s="2" t="s">
        <v>2342</v>
      </c>
      <c r="B988" s="4" t="s">
        <v>49</v>
      </c>
      <c r="C988" s="2" t="str">
        <f t="shared" si="30"/>
        <v>Jul</v>
      </c>
      <c r="D988" s="2">
        <f t="shared" si="31"/>
        <v>2025</v>
      </c>
      <c r="E988" s="2" t="s">
        <v>2343</v>
      </c>
      <c r="F988" s="2" t="s">
        <v>42</v>
      </c>
      <c r="G988" s="2" t="s">
        <v>19</v>
      </c>
      <c r="H988" s="2" t="s">
        <v>20</v>
      </c>
      <c r="I988" s="2">
        <v>25208.11</v>
      </c>
      <c r="J988" s="2">
        <v>4</v>
      </c>
      <c r="K988" s="2">
        <v>-576.21</v>
      </c>
      <c r="L988" s="2"/>
    </row>
    <row r="989" spans="1:12" x14ac:dyDescent="0.25">
      <c r="A989" s="2" t="s">
        <v>2344</v>
      </c>
      <c r="B989" s="4" t="s">
        <v>486</v>
      </c>
      <c r="C989" s="2" t="str">
        <f t="shared" si="30"/>
        <v>Feb</v>
      </c>
      <c r="D989" s="2">
        <f t="shared" si="31"/>
        <v>2025</v>
      </c>
      <c r="E989" s="2" t="s">
        <v>2345</v>
      </c>
      <c r="F989" s="2" t="s">
        <v>97</v>
      </c>
      <c r="G989" s="2" t="s">
        <v>25</v>
      </c>
      <c r="H989" s="2" t="s">
        <v>169</v>
      </c>
      <c r="I989" s="2">
        <v>46444.73</v>
      </c>
      <c r="J989" s="2">
        <v>5</v>
      </c>
      <c r="K989" s="2">
        <v>-586.62</v>
      </c>
      <c r="L989" s="2"/>
    </row>
    <row r="990" spans="1:12" x14ac:dyDescent="0.25">
      <c r="A990" s="2" t="s">
        <v>2346</v>
      </c>
      <c r="B990" s="4" t="s">
        <v>1534</v>
      </c>
      <c r="C990" s="2" t="str">
        <f t="shared" si="30"/>
        <v>Jun</v>
      </c>
      <c r="D990" s="2">
        <f t="shared" si="31"/>
        <v>2025</v>
      </c>
      <c r="E990" s="2" t="s">
        <v>2347</v>
      </c>
      <c r="F990" s="2" t="s">
        <v>18</v>
      </c>
      <c r="G990" s="2" t="s">
        <v>13</v>
      </c>
      <c r="H990" s="2" t="s">
        <v>30</v>
      </c>
      <c r="I990" s="2">
        <v>10500.84</v>
      </c>
      <c r="J990" s="2">
        <v>2</v>
      </c>
      <c r="K990" s="2">
        <v>390.38</v>
      </c>
      <c r="L990" s="2"/>
    </row>
    <row r="991" spans="1:12" x14ac:dyDescent="0.25">
      <c r="A991" s="2" t="s">
        <v>2348</v>
      </c>
      <c r="B991" s="4" t="s">
        <v>1570</v>
      </c>
      <c r="C991" s="2" t="str">
        <f t="shared" si="30"/>
        <v>Dec</v>
      </c>
      <c r="D991" s="2">
        <f t="shared" si="31"/>
        <v>2025</v>
      </c>
      <c r="E991" s="2" t="s">
        <v>2349</v>
      </c>
      <c r="F991" s="2" t="s">
        <v>18</v>
      </c>
      <c r="G991" s="2" t="s">
        <v>13</v>
      </c>
      <c r="H991" s="2" t="s">
        <v>77</v>
      </c>
      <c r="I991" s="2">
        <v>6345.42</v>
      </c>
      <c r="J991" s="2">
        <v>2</v>
      </c>
      <c r="K991" s="2">
        <v>425.63</v>
      </c>
      <c r="L991" s="2"/>
    </row>
    <row r="992" spans="1:12" x14ac:dyDescent="0.25">
      <c r="A992" s="2" t="s">
        <v>2350</v>
      </c>
      <c r="B992" s="4" t="s">
        <v>765</v>
      </c>
      <c r="C992" s="2" t="str">
        <f t="shared" si="30"/>
        <v>Jul</v>
      </c>
      <c r="D992" s="2">
        <f t="shared" si="31"/>
        <v>2025</v>
      </c>
      <c r="E992" s="2" t="s">
        <v>2351</v>
      </c>
      <c r="F992" s="2" t="s">
        <v>97</v>
      </c>
      <c r="G992" s="2" t="s">
        <v>19</v>
      </c>
      <c r="H992" s="2" t="s">
        <v>63</v>
      </c>
      <c r="I992" s="2">
        <v>8417.82</v>
      </c>
      <c r="J992" s="2">
        <v>6</v>
      </c>
      <c r="K992" s="2">
        <v>835.49</v>
      </c>
      <c r="L992" s="2"/>
    </row>
    <row r="993" spans="1:12" x14ac:dyDescent="0.25">
      <c r="A993" s="2" t="s">
        <v>2352</v>
      </c>
      <c r="B993" s="4" t="s">
        <v>1218</v>
      </c>
      <c r="C993" s="2" t="str">
        <f t="shared" si="30"/>
        <v>Dec</v>
      </c>
      <c r="D993" s="2">
        <f t="shared" si="31"/>
        <v>2025</v>
      </c>
      <c r="E993" s="2" t="s">
        <v>2353</v>
      </c>
      <c r="F993" s="2" t="s">
        <v>24</v>
      </c>
      <c r="G993" s="2" t="s">
        <v>54</v>
      </c>
      <c r="H993" s="2" t="s">
        <v>111</v>
      </c>
      <c r="I993" s="2">
        <v>7099.37</v>
      </c>
      <c r="J993" s="2">
        <v>2</v>
      </c>
      <c r="K993" s="2">
        <v>181.27</v>
      </c>
      <c r="L993" s="2"/>
    </row>
    <row r="994" spans="1:12" x14ac:dyDescent="0.25">
      <c r="A994" s="2" t="s">
        <v>2354</v>
      </c>
      <c r="B994" s="4" t="s">
        <v>478</v>
      </c>
      <c r="C994" s="2" t="str">
        <f t="shared" si="30"/>
        <v>Oct</v>
      </c>
      <c r="D994" s="2">
        <f t="shared" si="31"/>
        <v>2025</v>
      </c>
      <c r="E994" s="2" t="s">
        <v>2355</v>
      </c>
      <c r="F994" s="2" t="s">
        <v>97</v>
      </c>
      <c r="G994" s="2" t="s">
        <v>54</v>
      </c>
      <c r="H994" s="2" t="s">
        <v>138</v>
      </c>
      <c r="I994" s="2">
        <v>36671.269999999997</v>
      </c>
      <c r="J994" s="2">
        <v>7</v>
      </c>
      <c r="K994" s="2">
        <v>4147.8100000000004</v>
      </c>
      <c r="L994" s="2"/>
    </row>
    <row r="995" spans="1:12" x14ac:dyDescent="0.25">
      <c r="A995" s="2" t="s">
        <v>2356</v>
      </c>
      <c r="B995" s="4" t="s">
        <v>1850</v>
      </c>
      <c r="C995" s="2" t="str">
        <f t="shared" si="30"/>
        <v>Feb</v>
      </c>
      <c r="D995" s="2">
        <f t="shared" si="31"/>
        <v>2025</v>
      </c>
      <c r="E995" s="2" t="s">
        <v>2357</v>
      </c>
      <c r="F995" s="2" t="s">
        <v>12</v>
      </c>
      <c r="G995" s="2" t="s">
        <v>19</v>
      </c>
      <c r="H995" s="2" t="s">
        <v>59</v>
      </c>
      <c r="I995" s="2">
        <v>48205.1</v>
      </c>
      <c r="J995" s="2">
        <v>2</v>
      </c>
      <c r="K995" s="2">
        <v>11034.14</v>
      </c>
      <c r="L995" s="2"/>
    </row>
    <row r="996" spans="1:12" x14ac:dyDescent="0.25">
      <c r="A996" s="2" t="s">
        <v>2358</v>
      </c>
      <c r="B996" s="4" t="s">
        <v>1192</v>
      </c>
      <c r="C996" s="2" t="str">
        <f t="shared" si="30"/>
        <v>Sep</v>
      </c>
      <c r="D996" s="2">
        <f t="shared" si="31"/>
        <v>2025</v>
      </c>
      <c r="E996" s="2" t="s">
        <v>2359</v>
      </c>
      <c r="F996" s="2" t="s">
        <v>18</v>
      </c>
      <c r="G996" s="2" t="s">
        <v>13</v>
      </c>
      <c r="H996" s="2" t="s">
        <v>14</v>
      </c>
      <c r="I996" s="2">
        <v>48406.99</v>
      </c>
      <c r="J996" s="2">
        <v>2</v>
      </c>
      <c r="K996" s="2">
        <v>5859.49</v>
      </c>
      <c r="L996" s="2"/>
    </row>
    <row r="997" spans="1:12" x14ac:dyDescent="0.25">
      <c r="A997" s="2" t="s">
        <v>2360</v>
      </c>
      <c r="B997" s="4" t="s">
        <v>22</v>
      </c>
      <c r="C997" s="2" t="str">
        <f t="shared" si="30"/>
        <v>Mar</v>
      </c>
      <c r="D997" s="2">
        <f t="shared" si="31"/>
        <v>2025</v>
      </c>
      <c r="E997" s="2" t="s">
        <v>2361</v>
      </c>
      <c r="F997" s="2" t="s">
        <v>18</v>
      </c>
      <c r="G997" s="2" t="s">
        <v>19</v>
      </c>
      <c r="H997" s="2" t="s">
        <v>43</v>
      </c>
      <c r="I997" s="2">
        <v>41346.660000000003</v>
      </c>
      <c r="J997" s="2">
        <v>6</v>
      </c>
      <c r="K997" s="2">
        <v>-1873.73</v>
      </c>
      <c r="L997" s="2"/>
    </row>
    <row r="998" spans="1:12" x14ac:dyDescent="0.25">
      <c r="A998" s="2" t="s">
        <v>2362</v>
      </c>
      <c r="B998" s="4" t="s">
        <v>603</v>
      </c>
      <c r="C998" s="2" t="str">
        <f t="shared" si="30"/>
        <v>Oct</v>
      </c>
      <c r="D998" s="2">
        <f t="shared" si="31"/>
        <v>2025</v>
      </c>
      <c r="E998" s="2" t="s">
        <v>2363</v>
      </c>
      <c r="F998" s="2" t="s">
        <v>12</v>
      </c>
      <c r="G998" s="2" t="s">
        <v>19</v>
      </c>
      <c r="H998" s="2" t="s">
        <v>101</v>
      </c>
      <c r="I998" s="2">
        <v>31691.49</v>
      </c>
      <c r="J998" s="2">
        <v>6</v>
      </c>
      <c r="K998" s="2">
        <v>3830.9</v>
      </c>
      <c r="L998" s="2"/>
    </row>
    <row r="999" spans="1:12" x14ac:dyDescent="0.25">
      <c r="A999" s="2" t="s">
        <v>2364</v>
      </c>
      <c r="B999" s="4" t="s">
        <v>680</v>
      </c>
      <c r="C999" s="2" t="str">
        <f t="shared" si="30"/>
        <v>Nov</v>
      </c>
      <c r="D999" s="2">
        <f t="shared" si="31"/>
        <v>2025</v>
      </c>
      <c r="E999" s="2" t="s">
        <v>2365</v>
      </c>
      <c r="F999" s="2" t="s">
        <v>12</v>
      </c>
      <c r="G999" s="2" t="s">
        <v>54</v>
      </c>
      <c r="H999" s="2" t="s">
        <v>84</v>
      </c>
      <c r="I999" s="2">
        <v>19401.939999999999</v>
      </c>
      <c r="J999" s="2">
        <v>1</v>
      </c>
      <c r="K999" s="2">
        <v>1417.35</v>
      </c>
      <c r="L999" s="2"/>
    </row>
    <row r="1000" spans="1:12" x14ac:dyDescent="0.25">
      <c r="A1000" s="2" t="s">
        <v>2366</v>
      </c>
      <c r="B1000" s="4" t="s">
        <v>49</v>
      </c>
      <c r="C1000" s="2" t="str">
        <f t="shared" si="30"/>
        <v>Jul</v>
      </c>
      <c r="D1000" s="2">
        <f t="shared" si="31"/>
        <v>2025</v>
      </c>
      <c r="E1000" s="2" t="s">
        <v>2367</v>
      </c>
      <c r="F1000" s="2" t="s">
        <v>42</v>
      </c>
      <c r="G1000" s="2" t="s">
        <v>13</v>
      </c>
      <c r="H1000" s="2" t="s">
        <v>73</v>
      </c>
      <c r="I1000" s="2">
        <v>14926.69</v>
      </c>
      <c r="J1000" s="2">
        <v>7</v>
      </c>
      <c r="K1000" s="2">
        <v>4228.13</v>
      </c>
      <c r="L1000" s="2"/>
    </row>
    <row r="1001" spans="1:12" x14ac:dyDescent="0.25">
      <c r="A1001" s="2" t="s">
        <v>2368</v>
      </c>
      <c r="B1001" s="4" t="s">
        <v>106</v>
      </c>
      <c r="C1001" s="2" t="str">
        <f t="shared" si="30"/>
        <v>Jun</v>
      </c>
      <c r="D1001" s="2">
        <f t="shared" si="31"/>
        <v>2025</v>
      </c>
      <c r="E1001" s="2" t="s">
        <v>2369</v>
      </c>
      <c r="F1001" s="2" t="s">
        <v>42</v>
      </c>
      <c r="G1001" s="2" t="s">
        <v>54</v>
      </c>
      <c r="H1001" s="2" t="s">
        <v>84</v>
      </c>
      <c r="I1001" s="2">
        <v>12230.48</v>
      </c>
      <c r="J1001" s="2">
        <v>5</v>
      </c>
      <c r="K1001" s="2">
        <v>3360.25</v>
      </c>
      <c r="L1001" s="2"/>
    </row>
    <row r="1004" spans="1:12" x14ac:dyDescent="0.25">
      <c r="A1004">
        <f>COUNTA(A2:A1001)</f>
        <v>1000</v>
      </c>
      <c r="I1004" t="s">
        <v>2377</v>
      </c>
      <c r="J1004">
        <f>SUM(J1:J1001)</f>
        <v>5581</v>
      </c>
    </row>
    <row r="1005" spans="1:12" x14ac:dyDescent="0.25">
      <c r="I1005">
        <f>SUM(K1:K1001)</f>
        <v>3141215.3200000073</v>
      </c>
    </row>
  </sheetData>
  <autoFilter ref="A1:M1001"/>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C1:Q15"/>
  <sheetViews>
    <sheetView showGridLines="0" workbookViewId="0"/>
  </sheetViews>
  <sheetFormatPr defaultRowHeight="15" x14ac:dyDescent="0.25"/>
  <sheetData>
    <row r="1" spans="3:17" x14ac:dyDescent="0.25">
      <c r="H1" s="22" t="s">
        <v>2393</v>
      </c>
      <c r="I1" s="23"/>
      <c r="J1" s="23"/>
      <c r="K1" s="24"/>
    </row>
    <row r="2" spans="3:17" ht="15.75" thickBot="1" x14ac:dyDescent="0.3">
      <c r="H2" s="25"/>
      <c r="I2" s="26"/>
      <c r="J2" s="26"/>
      <c r="K2" s="27"/>
    </row>
    <row r="4" spans="3:17" ht="15.75" thickBot="1" x14ac:dyDescent="0.3"/>
    <row r="5" spans="3:17" x14ac:dyDescent="0.25">
      <c r="C5" s="28" t="s">
        <v>2394</v>
      </c>
      <c r="D5" s="29"/>
      <c r="E5" s="29"/>
      <c r="F5" s="29"/>
      <c r="G5" s="29"/>
      <c r="H5" s="29"/>
      <c r="I5" s="29"/>
      <c r="J5" s="29"/>
      <c r="K5" s="29"/>
      <c r="L5" s="29"/>
      <c r="M5" s="29"/>
      <c r="N5" s="29"/>
      <c r="O5" s="29"/>
      <c r="P5" s="29"/>
      <c r="Q5" s="30"/>
    </row>
    <row r="6" spans="3:17" x14ac:dyDescent="0.25">
      <c r="C6" s="31"/>
      <c r="D6" s="32"/>
      <c r="E6" s="32"/>
      <c r="F6" s="32"/>
      <c r="G6" s="32"/>
      <c r="H6" s="32"/>
      <c r="I6" s="32"/>
      <c r="J6" s="32"/>
      <c r="K6" s="32"/>
      <c r="L6" s="32"/>
      <c r="M6" s="32"/>
      <c r="N6" s="32"/>
      <c r="O6" s="32"/>
      <c r="P6" s="32"/>
      <c r="Q6" s="33"/>
    </row>
    <row r="7" spans="3:17" ht="15.75" thickBot="1" x14ac:dyDescent="0.3">
      <c r="C7" s="34"/>
      <c r="D7" s="35"/>
      <c r="E7" s="35"/>
      <c r="F7" s="35"/>
      <c r="G7" s="35"/>
      <c r="H7" s="35"/>
      <c r="I7" s="35"/>
      <c r="J7" s="35"/>
      <c r="K7" s="35"/>
      <c r="L7" s="35"/>
      <c r="M7" s="35"/>
      <c r="N7" s="35"/>
      <c r="O7" s="35"/>
      <c r="P7" s="35"/>
      <c r="Q7" s="36"/>
    </row>
    <row r="8" spans="3:17" ht="15.75" thickBot="1" x14ac:dyDescent="0.3"/>
    <row r="9" spans="3:17" x14ac:dyDescent="0.25">
      <c r="C9" s="37" t="s">
        <v>2395</v>
      </c>
      <c r="D9" s="38"/>
      <c r="E9" s="38"/>
      <c r="F9" s="38"/>
      <c r="G9" s="38"/>
      <c r="H9" s="38"/>
      <c r="I9" s="38"/>
      <c r="J9" s="38"/>
      <c r="K9" s="38"/>
      <c r="L9" s="38"/>
      <c r="M9" s="38"/>
      <c r="N9" s="38"/>
      <c r="O9" s="38"/>
      <c r="P9" s="38"/>
      <c r="Q9" s="39"/>
    </row>
    <row r="10" spans="3:17" x14ac:dyDescent="0.25">
      <c r="C10" s="40"/>
      <c r="D10" s="41"/>
      <c r="E10" s="41"/>
      <c r="F10" s="41"/>
      <c r="G10" s="41"/>
      <c r="H10" s="41"/>
      <c r="I10" s="41"/>
      <c r="J10" s="41"/>
      <c r="K10" s="41"/>
      <c r="L10" s="41"/>
      <c r="M10" s="41"/>
      <c r="N10" s="41"/>
      <c r="O10" s="41"/>
      <c r="P10" s="41"/>
      <c r="Q10" s="42"/>
    </row>
    <row r="11" spans="3:17" ht="15.75" thickBot="1" x14ac:dyDescent="0.3">
      <c r="C11" s="43"/>
      <c r="D11" s="44"/>
      <c r="E11" s="44"/>
      <c r="F11" s="44"/>
      <c r="G11" s="44"/>
      <c r="H11" s="44"/>
      <c r="I11" s="44"/>
      <c r="J11" s="44"/>
      <c r="K11" s="44"/>
      <c r="L11" s="44"/>
      <c r="M11" s="44"/>
      <c r="N11" s="44"/>
      <c r="O11" s="44"/>
      <c r="P11" s="44"/>
      <c r="Q11" s="45"/>
    </row>
    <row r="12" spans="3:17" ht="15.75" thickBot="1" x14ac:dyDescent="0.3"/>
    <row r="13" spans="3:17" ht="15" customHeight="1" x14ac:dyDescent="0.25">
      <c r="C13" s="46" t="s">
        <v>2396</v>
      </c>
      <c r="D13" s="47"/>
      <c r="E13" s="47"/>
      <c r="F13" s="47"/>
      <c r="G13" s="47"/>
      <c r="H13" s="47"/>
      <c r="I13" s="47"/>
      <c r="J13" s="47"/>
      <c r="K13" s="47"/>
      <c r="L13" s="47"/>
      <c r="M13" s="47"/>
      <c r="N13" s="47"/>
      <c r="O13" s="47"/>
      <c r="P13" s="47"/>
      <c r="Q13" s="48"/>
    </row>
    <row r="14" spans="3:17" ht="15" customHeight="1" x14ac:dyDescent="0.25">
      <c r="C14" s="49"/>
      <c r="D14" s="50"/>
      <c r="E14" s="50"/>
      <c r="F14" s="50"/>
      <c r="G14" s="50"/>
      <c r="H14" s="50"/>
      <c r="I14" s="50"/>
      <c r="J14" s="50"/>
      <c r="K14" s="50"/>
      <c r="L14" s="50"/>
      <c r="M14" s="50"/>
      <c r="N14" s="50"/>
      <c r="O14" s="50"/>
      <c r="P14" s="50"/>
      <c r="Q14" s="51"/>
    </row>
    <row r="15" spans="3:17" ht="15" customHeight="1" thickBot="1" x14ac:dyDescent="0.3">
      <c r="C15" s="52"/>
      <c r="D15" s="53"/>
      <c r="E15" s="53"/>
      <c r="F15" s="53"/>
      <c r="G15" s="53"/>
      <c r="H15" s="53"/>
      <c r="I15" s="53"/>
      <c r="J15" s="53"/>
      <c r="K15" s="53"/>
      <c r="L15" s="53"/>
      <c r="M15" s="53"/>
      <c r="N15" s="53"/>
      <c r="O15" s="53"/>
      <c r="P15" s="53"/>
      <c r="Q15" s="54"/>
    </row>
  </sheetData>
  <mergeCells count="4">
    <mergeCell ref="H1:K2"/>
    <mergeCell ref="C5:Q7"/>
    <mergeCell ref="C9:Q11"/>
    <mergeCell ref="C13:Q1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2060"/>
  </sheetPr>
  <dimension ref="F1:K2"/>
  <sheetViews>
    <sheetView showGridLines="0" zoomScale="85" zoomScaleNormal="85" workbookViewId="0"/>
  </sheetViews>
  <sheetFormatPr defaultRowHeight="15" x14ac:dyDescent="0.25"/>
  <sheetData>
    <row r="1" spans="6:11" x14ac:dyDescent="0.25">
      <c r="F1" s="55" t="s">
        <v>2405</v>
      </c>
      <c r="G1" s="56"/>
      <c r="H1" s="56"/>
      <c r="I1" s="56"/>
      <c r="J1" s="56"/>
      <c r="K1" s="56"/>
    </row>
    <row r="2" spans="6:11" x14ac:dyDescent="0.25">
      <c r="F2" s="56"/>
      <c r="G2" s="56"/>
      <c r="H2" s="56"/>
      <c r="I2" s="56"/>
      <c r="J2" s="56"/>
      <c r="K2" s="56"/>
    </row>
  </sheetData>
  <mergeCells count="1">
    <mergeCell ref="F1:K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CITY_WISE_SALE</vt:lpstr>
      <vt:lpstr>DASHBOARD </vt:lpstr>
      <vt:lpstr>MONTHLY_SALES</vt:lpstr>
      <vt:lpstr>CATEGORY_WISE_SALE</vt:lpstr>
      <vt:lpstr>Orders_Data</vt:lpstr>
      <vt:lpstr>CONCLUSION</vt:lpstr>
      <vt:lpstr>INSIGHT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2026-05-29T02:39:37Z</dcterms:created>
  <dcterms:modified xsi:type="dcterms:W3CDTF">2026-06-04T10:19:46Z</dcterms:modified>
</cp:coreProperties>
</file>